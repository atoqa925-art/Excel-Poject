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hidePivotFieldList="1" defaultThemeVersion="166925"/>
  <mc:AlternateContent xmlns:mc="http://schemas.openxmlformats.org/markup-compatibility/2006">
    <mc:Choice Requires="x15">
      <x15ac:absPath xmlns:x15ac="http://schemas.microsoft.com/office/spreadsheetml/2010/11/ac" url="https://d.docs.live.net/45c40296f9aea6ec/Desktop/Data Analysis  Toqa/Excel for Data Analysis/Ecxel Full Project/"/>
    </mc:Choice>
  </mc:AlternateContent>
  <xr:revisionPtr revIDLastSave="1" documentId="13_ncr:1_{E88BB1CE-D785-4CC2-8184-E79486E20B7E}" xr6:coauthVersionLast="47" xr6:coauthVersionMax="47" xr10:uidLastSave="{1F5C6D5D-024D-4756-97BF-599EB553AC12}"/>
  <bookViews>
    <workbookView xWindow="-120" yWindow="-120" windowWidth="29040" windowHeight="15840" tabRatio="598" activeTab="2" xr2:uid="{5DE774D8-8C6C-44DA-91ED-1E17A2BA1046}"/>
  </bookViews>
  <sheets>
    <sheet name="Table1" sheetId="2" r:id="rId1"/>
    <sheet name="Power Pivot" sheetId="1" r:id="rId2"/>
    <sheet name="Dashboard" sheetId="3" r:id="rId3"/>
  </sheets>
  <definedNames>
    <definedName name="ExternalData_1" localSheetId="0" hidden="1">Table1!$A$1:$X$127</definedName>
    <definedName name="Slicer_منتج">#N/A</definedName>
    <definedName name="Slicer_منصة_البيع">#N/A</definedName>
    <definedName name="Slicer_نوع_العميل">#N/A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127" i="2" l="1"/>
  <c r="P127" i="2"/>
  <c r="Q126" i="2"/>
  <c r="P126" i="2"/>
  <c r="R126" i="2" s="1"/>
  <c r="S126" i="2" s="1"/>
  <c r="Q125" i="2"/>
  <c r="P125" i="2"/>
  <c r="Q124" i="2"/>
  <c r="P124" i="2"/>
  <c r="Q123" i="2"/>
  <c r="P123" i="2"/>
  <c r="R123" i="2" s="1"/>
  <c r="S123" i="2" s="1"/>
  <c r="Q122" i="2"/>
  <c r="P122" i="2"/>
  <c r="Q121" i="2"/>
  <c r="P121" i="2"/>
  <c r="Q120" i="2"/>
  <c r="P120" i="2"/>
  <c r="R120" i="2" s="1"/>
  <c r="S120" i="2" s="1"/>
  <c r="Q119" i="2"/>
  <c r="P119" i="2"/>
  <c r="Q118" i="2"/>
  <c r="P118" i="2"/>
  <c r="R118" i="2" s="1"/>
  <c r="S118" i="2" s="1"/>
  <c r="Q117" i="2"/>
  <c r="P117" i="2"/>
  <c r="Q116" i="2"/>
  <c r="P116" i="2"/>
  <c r="Q115" i="2"/>
  <c r="P115" i="2"/>
  <c r="R115" i="2" s="1"/>
  <c r="S115" i="2" s="1"/>
  <c r="Q114" i="2"/>
  <c r="P114" i="2"/>
  <c r="R114" i="2" s="1"/>
  <c r="S114" i="2" s="1"/>
  <c r="Q113" i="2"/>
  <c r="P113" i="2"/>
  <c r="Q112" i="2"/>
  <c r="P112" i="2"/>
  <c r="R112" i="2" s="1"/>
  <c r="S112" i="2" s="1"/>
  <c r="Q111" i="2"/>
  <c r="P111" i="2"/>
  <c r="Q110" i="2"/>
  <c r="P110" i="2"/>
  <c r="Q109" i="2"/>
  <c r="P109" i="2"/>
  <c r="R109" i="2" s="1"/>
  <c r="S109" i="2" s="1"/>
  <c r="Q108" i="2"/>
  <c r="P108" i="2"/>
  <c r="R108" i="2" s="1"/>
  <c r="S108" i="2" s="1"/>
  <c r="Q107" i="2"/>
  <c r="P107" i="2"/>
  <c r="Q106" i="2"/>
  <c r="P106" i="2"/>
  <c r="R106" i="2" s="1"/>
  <c r="S106" i="2" s="1"/>
  <c r="Q105" i="2"/>
  <c r="P105" i="2"/>
  <c r="Q104" i="2"/>
  <c r="P104" i="2"/>
  <c r="Q103" i="2"/>
  <c r="P103" i="2"/>
  <c r="R103" i="2" s="1"/>
  <c r="S103" i="2" s="1"/>
  <c r="Q102" i="2"/>
  <c r="P102" i="2"/>
  <c r="R102" i="2" s="1"/>
  <c r="S102" i="2" s="1"/>
  <c r="Q101" i="2"/>
  <c r="P101" i="2"/>
  <c r="Q100" i="2"/>
  <c r="P100" i="2"/>
  <c r="R100" i="2" s="1"/>
  <c r="S100" i="2" s="1"/>
  <c r="Q99" i="2"/>
  <c r="P99" i="2"/>
  <c r="Q98" i="2"/>
  <c r="P98" i="2"/>
  <c r="Q97" i="2"/>
  <c r="P97" i="2"/>
  <c r="R97" i="2" s="1"/>
  <c r="S97" i="2" s="1"/>
  <c r="Q96" i="2"/>
  <c r="P96" i="2"/>
  <c r="R96" i="2" s="1"/>
  <c r="S96" i="2" s="1"/>
  <c r="Q95" i="2"/>
  <c r="P95" i="2"/>
  <c r="Q94" i="2"/>
  <c r="P94" i="2"/>
  <c r="R94" i="2" s="1"/>
  <c r="S94" i="2" s="1"/>
  <c r="Q93" i="2"/>
  <c r="P93" i="2"/>
  <c r="Q92" i="2"/>
  <c r="P92" i="2"/>
  <c r="Q91" i="2"/>
  <c r="P91" i="2"/>
  <c r="R91" i="2" s="1"/>
  <c r="S91" i="2" s="1"/>
  <c r="Q90" i="2"/>
  <c r="P90" i="2"/>
  <c r="R90" i="2" s="1"/>
  <c r="S90" i="2" s="1"/>
  <c r="Q89" i="2"/>
  <c r="P89" i="2"/>
  <c r="Q88" i="2"/>
  <c r="P88" i="2"/>
  <c r="R88" i="2" s="1"/>
  <c r="S88" i="2" s="1"/>
  <c r="Q87" i="2"/>
  <c r="P87" i="2"/>
  <c r="Q86" i="2"/>
  <c r="P86" i="2"/>
  <c r="Q85" i="2"/>
  <c r="P85" i="2"/>
  <c r="R85" i="2" s="1"/>
  <c r="S85" i="2" s="1"/>
  <c r="Q84" i="2"/>
  <c r="P84" i="2"/>
  <c r="R84" i="2" s="1"/>
  <c r="S84" i="2" s="1"/>
  <c r="Q83" i="2"/>
  <c r="P83" i="2"/>
  <c r="Q82" i="2"/>
  <c r="P82" i="2"/>
  <c r="R82" i="2" s="1"/>
  <c r="S82" i="2" s="1"/>
  <c r="Q81" i="2"/>
  <c r="P81" i="2"/>
  <c r="Q80" i="2"/>
  <c r="P80" i="2"/>
  <c r="Q79" i="2"/>
  <c r="P79" i="2"/>
  <c r="R79" i="2" s="1"/>
  <c r="S79" i="2" s="1"/>
  <c r="Q78" i="2"/>
  <c r="P78" i="2"/>
  <c r="R78" i="2" s="1"/>
  <c r="S78" i="2" s="1"/>
  <c r="Q77" i="2"/>
  <c r="P77" i="2"/>
  <c r="Q76" i="2"/>
  <c r="P76" i="2"/>
  <c r="R76" i="2" s="1"/>
  <c r="S76" i="2" s="1"/>
  <c r="Q75" i="2"/>
  <c r="P75" i="2"/>
  <c r="Q74" i="2"/>
  <c r="P74" i="2"/>
  <c r="Q73" i="2"/>
  <c r="P73" i="2"/>
  <c r="R73" i="2" s="1"/>
  <c r="S73" i="2" s="1"/>
  <c r="Q72" i="2"/>
  <c r="P72" i="2"/>
  <c r="R72" i="2" s="1"/>
  <c r="S72" i="2" s="1"/>
  <c r="Q71" i="2"/>
  <c r="P71" i="2"/>
  <c r="Q70" i="2"/>
  <c r="P70" i="2"/>
  <c r="R70" i="2" s="1"/>
  <c r="S70" i="2" s="1"/>
  <c r="Q69" i="2"/>
  <c r="P69" i="2"/>
  <c r="Q68" i="2"/>
  <c r="P68" i="2"/>
  <c r="Q67" i="2"/>
  <c r="P67" i="2"/>
  <c r="R67" i="2" s="1"/>
  <c r="S67" i="2" s="1"/>
  <c r="Q66" i="2"/>
  <c r="P66" i="2"/>
  <c r="R66" i="2" s="1"/>
  <c r="S66" i="2" s="1"/>
  <c r="Q65" i="2"/>
  <c r="P65" i="2"/>
  <c r="Q64" i="2"/>
  <c r="P64" i="2"/>
  <c r="R64" i="2" s="1"/>
  <c r="S64" i="2" s="1"/>
  <c r="Q63" i="2"/>
  <c r="P63" i="2"/>
  <c r="Q62" i="2"/>
  <c r="P62" i="2"/>
  <c r="Q61" i="2"/>
  <c r="P61" i="2"/>
  <c r="R61" i="2" s="1"/>
  <c r="S61" i="2" s="1"/>
  <c r="Q60" i="2"/>
  <c r="P60" i="2"/>
  <c r="R60" i="2" s="1"/>
  <c r="S60" i="2" s="1"/>
  <c r="Q59" i="2"/>
  <c r="P59" i="2"/>
  <c r="Q58" i="2"/>
  <c r="P58" i="2"/>
  <c r="R58" i="2" s="1"/>
  <c r="S58" i="2" s="1"/>
  <c r="Q57" i="2"/>
  <c r="P57" i="2"/>
  <c r="Q56" i="2"/>
  <c r="P56" i="2"/>
  <c r="Q55" i="2"/>
  <c r="P55" i="2"/>
  <c r="R55" i="2" s="1"/>
  <c r="S55" i="2" s="1"/>
  <c r="Q54" i="2"/>
  <c r="P54" i="2"/>
  <c r="R54" i="2" s="1"/>
  <c r="S54" i="2" s="1"/>
  <c r="Q53" i="2"/>
  <c r="P53" i="2"/>
  <c r="Q52" i="2"/>
  <c r="P52" i="2"/>
  <c r="R52" i="2" s="1"/>
  <c r="S52" i="2" s="1"/>
  <c r="Q51" i="2"/>
  <c r="P51" i="2"/>
  <c r="Q50" i="2"/>
  <c r="P50" i="2"/>
  <c r="Q49" i="2"/>
  <c r="P49" i="2"/>
  <c r="R49" i="2" s="1"/>
  <c r="S49" i="2" s="1"/>
  <c r="Q48" i="2"/>
  <c r="P48" i="2"/>
  <c r="R48" i="2" s="1"/>
  <c r="S48" i="2" s="1"/>
  <c r="Q47" i="2"/>
  <c r="P47" i="2"/>
  <c r="Q46" i="2"/>
  <c r="P46" i="2"/>
  <c r="R46" i="2" s="1"/>
  <c r="S46" i="2" s="1"/>
  <c r="Q45" i="2"/>
  <c r="P45" i="2"/>
  <c r="Q44" i="2"/>
  <c r="P44" i="2"/>
  <c r="Q43" i="2"/>
  <c r="P43" i="2"/>
  <c r="R43" i="2" s="1"/>
  <c r="S43" i="2" s="1"/>
  <c r="Q42" i="2"/>
  <c r="P42" i="2"/>
  <c r="R42" i="2" s="1"/>
  <c r="S42" i="2" s="1"/>
  <c r="Q41" i="2"/>
  <c r="P41" i="2"/>
  <c r="Q40" i="2"/>
  <c r="P40" i="2"/>
  <c r="R40" i="2" s="1"/>
  <c r="S40" i="2" s="1"/>
  <c r="Q39" i="2"/>
  <c r="P39" i="2"/>
  <c r="Q38" i="2"/>
  <c r="P38" i="2"/>
  <c r="Q37" i="2"/>
  <c r="P37" i="2"/>
  <c r="R37" i="2" s="1"/>
  <c r="S37" i="2" s="1"/>
  <c r="Q36" i="2"/>
  <c r="P36" i="2"/>
  <c r="R36" i="2" s="1"/>
  <c r="S36" i="2" s="1"/>
  <c r="Q35" i="2"/>
  <c r="P35" i="2"/>
  <c r="Q34" i="2"/>
  <c r="P34" i="2"/>
  <c r="R34" i="2" s="1"/>
  <c r="S34" i="2" s="1"/>
  <c r="Q33" i="2"/>
  <c r="P33" i="2"/>
  <c r="Q32" i="2"/>
  <c r="P32" i="2"/>
  <c r="Q31" i="2"/>
  <c r="P31" i="2"/>
  <c r="R31" i="2" s="1"/>
  <c r="S31" i="2" s="1"/>
  <c r="Q30" i="2"/>
  <c r="P30" i="2"/>
  <c r="R30" i="2" s="1"/>
  <c r="S30" i="2" s="1"/>
  <c r="Q29" i="2"/>
  <c r="P29" i="2"/>
  <c r="Q28" i="2"/>
  <c r="P28" i="2"/>
  <c r="R28" i="2" s="1"/>
  <c r="S28" i="2" s="1"/>
  <c r="Q27" i="2"/>
  <c r="P27" i="2"/>
  <c r="Q26" i="2"/>
  <c r="P26" i="2"/>
  <c r="Q25" i="2"/>
  <c r="P25" i="2"/>
  <c r="R25" i="2" s="1"/>
  <c r="S25" i="2" s="1"/>
  <c r="Q24" i="2"/>
  <c r="P24" i="2"/>
  <c r="R24" i="2" s="1"/>
  <c r="S24" i="2" s="1"/>
  <c r="Q23" i="2"/>
  <c r="P23" i="2"/>
  <c r="Q22" i="2"/>
  <c r="P22" i="2"/>
  <c r="R22" i="2" s="1"/>
  <c r="S22" i="2" s="1"/>
  <c r="Q21" i="2"/>
  <c r="P21" i="2"/>
  <c r="Q20" i="2"/>
  <c r="P20" i="2"/>
  <c r="Q19" i="2"/>
  <c r="P19" i="2"/>
  <c r="R19" i="2" s="1"/>
  <c r="S19" i="2" s="1"/>
  <c r="Q18" i="2"/>
  <c r="P18" i="2"/>
  <c r="R18" i="2" s="1"/>
  <c r="S18" i="2" s="1"/>
  <c r="Q17" i="2"/>
  <c r="P17" i="2"/>
  <c r="Q16" i="2"/>
  <c r="P16" i="2"/>
  <c r="R16" i="2" s="1"/>
  <c r="S16" i="2" s="1"/>
  <c r="Q15" i="2"/>
  <c r="P15" i="2"/>
  <c r="Q14" i="2"/>
  <c r="P14" i="2"/>
  <c r="Q13" i="2"/>
  <c r="P13" i="2"/>
  <c r="R13" i="2" s="1"/>
  <c r="S13" i="2" s="1"/>
  <c r="Q12" i="2"/>
  <c r="P12" i="2"/>
  <c r="R12" i="2" s="1"/>
  <c r="S12" i="2" s="1"/>
  <c r="Q11" i="2"/>
  <c r="P11" i="2"/>
  <c r="Q10" i="2"/>
  <c r="P10" i="2"/>
  <c r="R10" i="2" s="1"/>
  <c r="S10" i="2" s="1"/>
  <c r="Q9" i="2"/>
  <c r="P9" i="2"/>
  <c r="Q8" i="2"/>
  <c r="P8" i="2"/>
  <c r="Q7" i="2"/>
  <c r="P7" i="2"/>
  <c r="R7" i="2" s="1"/>
  <c r="S7" i="2" s="1"/>
  <c r="Q6" i="2"/>
  <c r="P6" i="2"/>
  <c r="R6" i="2" s="1"/>
  <c r="S6" i="2" s="1"/>
  <c r="Q5" i="2"/>
  <c r="P5" i="2"/>
  <c r="Q4" i="2"/>
  <c r="P4" i="2"/>
  <c r="R4" i="2" s="1"/>
  <c r="S4" i="2" s="1"/>
  <c r="Q3" i="2"/>
  <c r="P3" i="2"/>
  <c r="Q2" i="2"/>
  <c r="P2" i="2"/>
  <c r="R2" i="2" l="1"/>
  <c r="S2" i="2" s="1"/>
  <c r="R8" i="2"/>
  <c r="S8" i="2" s="1"/>
  <c r="R14" i="2"/>
  <c r="S14" i="2" s="1"/>
  <c r="R20" i="2"/>
  <c r="S20" i="2" s="1"/>
  <c r="R26" i="2"/>
  <c r="S26" i="2" s="1"/>
  <c r="R32" i="2"/>
  <c r="S32" i="2" s="1"/>
  <c r="R38" i="2"/>
  <c r="S38" i="2" s="1"/>
  <c r="R44" i="2"/>
  <c r="S44" i="2" s="1"/>
  <c r="R50" i="2"/>
  <c r="S50" i="2" s="1"/>
  <c r="R56" i="2"/>
  <c r="S56" i="2" s="1"/>
  <c r="R62" i="2"/>
  <c r="S62" i="2" s="1"/>
  <c r="R68" i="2"/>
  <c r="S68" i="2" s="1"/>
  <c r="R74" i="2"/>
  <c r="S74" i="2" s="1"/>
  <c r="R80" i="2"/>
  <c r="S80" i="2" s="1"/>
  <c r="R86" i="2"/>
  <c r="S86" i="2" s="1"/>
  <c r="R92" i="2"/>
  <c r="S92" i="2" s="1"/>
  <c r="R98" i="2"/>
  <c r="S98" i="2" s="1"/>
  <c r="R104" i="2"/>
  <c r="S104" i="2" s="1"/>
  <c r="R110" i="2"/>
  <c r="S110" i="2" s="1"/>
  <c r="R116" i="2"/>
  <c r="S116" i="2" s="1"/>
  <c r="R122" i="2"/>
  <c r="S122" i="2" s="1"/>
  <c r="R121" i="2"/>
  <c r="S121" i="2" s="1"/>
  <c r="R127" i="2"/>
  <c r="S127" i="2" s="1"/>
  <c r="R3" i="2"/>
  <c r="S3" i="2" s="1"/>
  <c r="R9" i="2"/>
  <c r="S9" i="2" s="1"/>
  <c r="R15" i="2"/>
  <c r="S15" i="2" s="1"/>
  <c r="R21" i="2"/>
  <c r="S21" i="2" s="1"/>
  <c r="R27" i="2"/>
  <c r="S27" i="2" s="1"/>
  <c r="R33" i="2"/>
  <c r="S33" i="2" s="1"/>
  <c r="R39" i="2"/>
  <c r="S39" i="2" s="1"/>
  <c r="R45" i="2"/>
  <c r="S45" i="2" s="1"/>
  <c r="R51" i="2"/>
  <c r="S51" i="2" s="1"/>
  <c r="R57" i="2"/>
  <c r="S57" i="2" s="1"/>
  <c r="R63" i="2"/>
  <c r="S63" i="2" s="1"/>
  <c r="R69" i="2"/>
  <c r="S69" i="2" s="1"/>
  <c r="R75" i="2"/>
  <c r="S75" i="2" s="1"/>
  <c r="R81" i="2"/>
  <c r="S81" i="2" s="1"/>
  <c r="R87" i="2"/>
  <c r="S87" i="2" s="1"/>
  <c r="R93" i="2"/>
  <c r="S93" i="2" s="1"/>
  <c r="R99" i="2"/>
  <c r="S99" i="2" s="1"/>
  <c r="R105" i="2"/>
  <c r="S105" i="2" s="1"/>
  <c r="R111" i="2"/>
  <c r="S111" i="2" s="1"/>
  <c r="R117" i="2"/>
  <c r="S117" i="2" s="1"/>
  <c r="R124" i="2"/>
  <c r="S124" i="2" s="1"/>
  <c r="R5" i="2"/>
  <c r="S5" i="2" s="1"/>
  <c r="R11" i="2"/>
  <c r="S11" i="2" s="1"/>
  <c r="R17" i="2"/>
  <c r="S17" i="2" s="1"/>
  <c r="R23" i="2"/>
  <c r="S23" i="2" s="1"/>
  <c r="R29" i="2"/>
  <c r="S29" i="2" s="1"/>
  <c r="R35" i="2"/>
  <c r="S35" i="2" s="1"/>
  <c r="R41" i="2"/>
  <c r="S41" i="2" s="1"/>
  <c r="R47" i="2"/>
  <c r="S47" i="2" s="1"/>
  <c r="R53" i="2"/>
  <c r="S53" i="2" s="1"/>
  <c r="R59" i="2"/>
  <c r="S59" i="2" s="1"/>
  <c r="R65" i="2"/>
  <c r="S65" i="2" s="1"/>
  <c r="R71" i="2"/>
  <c r="S71" i="2" s="1"/>
  <c r="R77" i="2"/>
  <c r="S77" i="2" s="1"/>
  <c r="R83" i="2"/>
  <c r="S83" i="2" s="1"/>
  <c r="R89" i="2"/>
  <c r="S89" i="2" s="1"/>
  <c r="R95" i="2"/>
  <c r="S95" i="2" s="1"/>
  <c r="R101" i="2"/>
  <c r="S101" i="2" s="1"/>
  <c r="R107" i="2"/>
  <c r="S107" i="2" s="1"/>
  <c r="R113" i="2"/>
  <c r="S113" i="2" s="1"/>
  <c r="R119" i="2"/>
  <c r="S119" i="2" s="1"/>
  <c r="R125" i="2"/>
  <c r="S125"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0EE24C9-8B53-488E-A184-99B783021857}" keepAlive="1" name="Query - Table1__2" description="Connection to the 'Table1__2' query in the workbook." type="5" refreshedVersion="8" background="1" saveData="1">
    <dbPr connection="Provider=Microsoft.Mashup.OleDb.1;Data Source=$Workbook$;Location=Table1__2;Extended Properties=&quot;&quot;" command="SELECT * FROM [Table1__2]"/>
  </connection>
</connections>
</file>

<file path=xl/sharedStrings.xml><?xml version="1.0" encoding="utf-8"?>
<sst xmlns="http://schemas.openxmlformats.org/spreadsheetml/2006/main" count="1578" uniqueCount="305">
  <si>
    <t>0</t>
  </si>
  <si>
    <t>نوع العميل</t>
  </si>
  <si>
    <t>أسم العميل</t>
  </si>
  <si>
    <t>العنوان</t>
  </si>
  <si>
    <t xml:space="preserve">منصة البيع </t>
  </si>
  <si>
    <t>منتج</t>
  </si>
  <si>
    <t>نوع المنتج</t>
  </si>
  <si>
    <t>الاسم</t>
  </si>
  <si>
    <t>المقاس</t>
  </si>
  <si>
    <t>اللون المعدن</t>
  </si>
  <si>
    <t>لون القماش</t>
  </si>
  <si>
    <t>المنتج</t>
  </si>
  <si>
    <t xml:space="preserve">سعر البيع </t>
  </si>
  <si>
    <t xml:space="preserve">طريقه الدفع </t>
  </si>
  <si>
    <t>ميعاد الطلب</t>
  </si>
  <si>
    <t>ميعاد التسليم</t>
  </si>
  <si>
    <t>تاريخ التسليم</t>
  </si>
  <si>
    <t>المسئول عن التسليم</t>
  </si>
  <si>
    <t>الحالة</t>
  </si>
  <si>
    <t>افراد</t>
  </si>
  <si>
    <t xml:space="preserve">خالد عبد القوى </t>
  </si>
  <si>
    <t>العجوزه - الجيزه</t>
  </si>
  <si>
    <t>هومزمارت</t>
  </si>
  <si>
    <t>سرير</t>
  </si>
  <si>
    <t>منطبق</t>
  </si>
  <si>
    <t>ابيض</t>
  </si>
  <si>
    <t xml:space="preserve">سرير منطبق الحديد ابيض والقماش ابيض </t>
  </si>
  <si>
    <t>مسبق الدفع</t>
  </si>
  <si>
    <t xml:space="preserve">تم التسليم عن طريق شركه شحن </t>
  </si>
  <si>
    <t>تم التسليم</t>
  </si>
  <si>
    <t>محمود</t>
  </si>
  <si>
    <t>سموحه - اسكندريه</t>
  </si>
  <si>
    <t>اسود</t>
  </si>
  <si>
    <t xml:space="preserve">سرير منطبق اسود والقماش اسود </t>
  </si>
  <si>
    <t>سعيد</t>
  </si>
  <si>
    <t xml:space="preserve">سيدى عبد الرحمن - الساحل الشمالى </t>
  </si>
  <si>
    <t>دورين</t>
  </si>
  <si>
    <t>كيفنج</t>
  </si>
  <si>
    <t>ازرق</t>
  </si>
  <si>
    <t xml:space="preserve">سرير كيفينج مقاس 90 لون ازرق </t>
  </si>
  <si>
    <t>ساندرا</t>
  </si>
  <si>
    <t xml:space="preserve">الغردقه </t>
  </si>
  <si>
    <t>تربيزه</t>
  </si>
  <si>
    <t xml:space="preserve">ترابيزه قهوه متحركه </t>
  </si>
  <si>
    <t xml:space="preserve">زينا </t>
  </si>
  <si>
    <t>نوفال</t>
  </si>
  <si>
    <t>رمادى</t>
  </si>
  <si>
    <t xml:space="preserve">سرير نوفال متر رمادى </t>
  </si>
  <si>
    <t>شركات</t>
  </si>
  <si>
    <t xml:space="preserve">شيك هومز </t>
  </si>
  <si>
    <t xml:space="preserve">كنبة </t>
  </si>
  <si>
    <t>4*1</t>
  </si>
  <si>
    <t xml:space="preserve">كنبه سرير رمادى </t>
  </si>
  <si>
    <t xml:space="preserve">احمد </t>
  </si>
  <si>
    <t>التجمع الخامس</t>
  </si>
  <si>
    <t>فيس بوك</t>
  </si>
  <si>
    <t>yilmaz</t>
  </si>
  <si>
    <t xml:space="preserve">٦ اكتوبر الجيزه </t>
  </si>
  <si>
    <t>فردى</t>
  </si>
  <si>
    <t xml:space="preserve">سرير فردى ابيض </t>
  </si>
  <si>
    <t xml:space="preserve">تاكى </t>
  </si>
  <si>
    <t>العباسيه</t>
  </si>
  <si>
    <t>تاكى</t>
  </si>
  <si>
    <t>ركنة</t>
  </si>
  <si>
    <t>ركنة بسرير</t>
  </si>
  <si>
    <t xml:space="preserve">ركنه </t>
  </si>
  <si>
    <t>سحارة</t>
  </si>
  <si>
    <t>٢ كنبه سحاره بمخدع</t>
  </si>
  <si>
    <t xml:space="preserve">ملغى </t>
  </si>
  <si>
    <t>ملغي</t>
  </si>
  <si>
    <t xml:space="preserve">العباسيه </t>
  </si>
  <si>
    <t xml:space="preserve">٢ كنبه سحاره بدون مخدع </t>
  </si>
  <si>
    <t xml:space="preserve">تم التسليم محمود على </t>
  </si>
  <si>
    <t xml:space="preserve">على رشوان </t>
  </si>
  <si>
    <t>مصر الجديده</t>
  </si>
  <si>
    <t>سرير نوفال ابيض مقاس ٨٠</t>
  </si>
  <si>
    <t xml:space="preserve">احمد فخرى </t>
  </si>
  <si>
    <t>سرير فردى خشب موسكى الحديد ابيض مقاس ٨٠</t>
  </si>
  <si>
    <t xml:space="preserve">لينا </t>
  </si>
  <si>
    <t xml:space="preserve">المقطم </t>
  </si>
  <si>
    <t>2 ميكانزم</t>
  </si>
  <si>
    <t xml:space="preserve">ترابيزه قهوه علويه جديده </t>
  </si>
  <si>
    <t>مرتجع</t>
  </si>
  <si>
    <t xml:space="preserve">فيصل نعيم </t>
  </si>
  <si>
    <t xml:space="preserve">التجمع الخامس </t>
  </si>
  <si>
    <t xml:space="preserve">اوسكار ريتن </t>
  </si>
  <si>
    <t xml:space="preserve">٢ سرير كيفنج ١٢٠ اسود </t>
  </si>
  <si>
    <t>ellho elkafy</t>
  </si>
  <si>
    <t xml:space="preserve">مدينه نصر </t>
  </si>
  <si>
    <t>كينج</t>
  </si>
  <si>
    <t xml:space="preserve">سرير كينج ابيض مقاس ٨٠ التصميم الجديد </t>
  </si>
  <si>
    <t>القاهره الجديده</t>
  </si>
  <si>
    <t>فورجينا</t>
  </si>
  <si>
    <t>٤سرير فردى خشب موسكى الحديد ابيض مقاس ٨٠</t>
  </si>
  <si>
    <t>كرسى</t>
  </si>
  <si>
    <t>فنسيا</t>
  </si>
  <si>
    <t xml:space="preserve">٢ فوتيه فنيسيا </t>
  </si>
  <si>
    <t>صفاء</t>
  </si>
  <si>
    <t>المعادى</t>
  </si>
  <si>
    <t>حسن حازم</t>
  </si>
  <si>
    <t>اسبانى</t>
  </si>
  <si>
    <t>سرير اسبانى ابيض ١٢٠</t>
  </si>
  <si>
    <t xml:space="preserve">سرير كينج ابيض </t>
  </si>
  <si>
    <t>شيك هومز</t>
  </si>
  <si>
    <t xml:space="preserve">سرير كينج اسود </t>
  </si>
  <si>
    <t>اوسكار راتن</t>
  </si>
  <si>
    <t xml:space="preserve">مخزن اوسكار في القناطر </t>
  </si>
  <si>
    <t>٢ سريرفورجينا خشب موسكى ابيض مقاس ١٢٠</t>
  </si>
  <si>
    <t>حساب شركه</t>
  </si>
  <si>
    <t>ارفيل</t>
  </si>
  <si>
    <t xml:space="preserve">٢ سرير ارفيل ١٢٠ اسود </t>
  </si>
  <si>
    <t xml:space="preserve">مسبق الدفع </t>
  </si>
  <si>
    <t>صفاء الحكيم</t>
  </si>
  <si>
    <t>العين السخنه</t>
  </si>
  <si>
    <t>سرير منطببق اسود وقماش اسود</t>
  </si>
  <si>
    <t>يوسف شناوى</t>
  </si>
  <si>
    <t xml:space="preserve">الابراهيميه . الإسكندرية </t>
  </si>
  <si>
    <t>رف سحاب</t>
  </si>
  <si>
    <t xml:space="preserve">ترابيزه قهوه علويه برف سحاب </t>
  </si>
  <si>
    <t xml:space="preserve">حاتم العيسوي </t>
  </si>
  <si>
    <t>سرير منطبق اسود حديد وقماش</t>
  </si>
  <si>
    <t xml:space="preserve">رنا </t>
  </si>
  <si>
    <t xml:space="preserve">القطاميه </t>
  </si>
  <si>
    <t>عبير نور الدين</t>
  </si>
  <si>
    <t xml:space="preserve">١٨ شارع البحيري بولاق الدكرور الجيزه </t>
  </si>
  <si>
    <t>ثلاثه ادوار</t>
  </si>
  <si>
    <t xml:space="preserve">سرير ٣ ادورا اسود مقاس ١٠٠ </t>
  </si>
  <si>
    <t xml:space="preserve">اسراء ابو العنين </t>
  </si>
  <si>
    <t>سرير اسبانى اسود مقاس ١٢٠</t>
  </si>
  <si>
    <t>وائل صادق</t>
  </si>
  <si>
    <t>كورين</t>
  </si>
  <si>
    <t>دهبي</t>
  </si>
  <si>
    <t xml:space="preserve">سرير كوين مقاس ١٤٠ دهبي ورمادى </t>
  </si>
  <si>
    <t xml:space="preserve">حسن مغرب </t>
  </si>
  <si>
    <t xml:space="preserve">سرير كيفنج ١٢٠ رمادى </t>
  </si>
  <si>
    <t xml:space="preserve">على السيد </t>
  </si>
  <si>
    <t xml:space="preserve">الشروق القاهره </t>
  </si>
  <si>
    <t xml:space="preserve">سرير نوفال  ٩٠ اسود </t>
  </si>
  <si>
    <t xml:space="preserve">هشام بسيونى </t>
  </si>
  <si>
    <t xml:space="preserve">حدايق الاهرام </t>
  </si>
  <si>
    <t xml:space="preserve">            ٢ سرير كيفنج ١٠٠ اسود </t>
  </si>
  <si>
    <t>الشروق</t>
  </si>
  <si>
    <t xml:space="preserve">سرير ٣ ادوار ابيض مقاس ٨٠ ابيض </t>
  </si>
  <si>
    <t xml:space="preserve">ساره وجيه </t>
  </si>
  <si>
    <t xml:space="preserve">سرير كيفنج دورين مقاس ٨٠ ابيض </t>
  </si>
  <si>
    <t xml:space="preserve">مها </t>
  </si>
  <si>
    <t xml:space="preserve">لافيستا العين السخنه </t>
  </si>
  <si>
    <t>سرير استيل ازرق مقاس ١٤٠</t>
  </si>
  <si>
    <t xml:space="preserve">بسام الشربينى </t>
  </si>
  <si>
    <t>بنفسجى</t>
  </si>
  <si>
    <t xml:space="preserve">سرير كينج ١٢٠ بنفسجى </t>
  </si>
  <si>
    <t xml:space="preserve">هبه عبد الفتاح </t>
  </si>
  <si>
    <t xml:space="preserve">القاهره الجديده </t>
  </si>
  <si>
    <t xml:space="preserve">كنبه سرير ٤ حركه </t>
  </si>
  <si>
    <t xml:space="preserve">اسراء ابراهيم </t>
  </si>
  <si>
    <t xml:space="preserve">طارق كمال </t>
  </si>
  <si>
    <t xml:space="preserve">سرير ٣ ادوار اسود مقاس ٩٠ </t>
  </si>
  <si>
    <t xml:space="preserve">ديفد بهجت </t>
  </si>
  <si>
    <t>فيصل الجيزه</t>
  </si>
  <si>
    <t>تربيزه قهوه ٢ رافع</t>
  </si>
  <si>
    <t xml:space="preserve">اياد </t>
  </si>
  <si>
    <t>بمكتبة</t>
  </si>
  <si>
    <t>ميار خورشد</t>
  </si>
  <si>
    <t xml:space="preserve">سرير منطبق اسود حديد ومعدن </t>
  </si>
  <si>
    <t xml:space="preserve">عبد الله سيد </t>
  </si>
  <si>
    <t xml:space="preserve">الشيخ زايد ٦ اكتوبر </t>
  </si>
  <si>
    <t xml:space="preserve">سرير اسبانى  ١٤٠ اسود وبيج </t>
  </si>
  <si>
    <t xml:space="preserve">كينج سونا </t>
  </si>
  <si>
    <t xml:space="preserve">تربيزه قهوه مرتفعه برف سحاب </t>
  </si>
  <si>
    <t xml:space="preserve">احمد خالد </t>
  </si>
  <si>
    <t>الرحاب</t>
  </si>
  <si>
    <t xml:space="preserve"> ٢. سرير فورجينا ابيض مقاس ١٢٠</t>
  </si>
  <si>
    <t>ساره</t>
  </si>
  <si>
    <t xml:space="preserve">   ٢. سرير اسبانى ابيض ١٢٠</t>
  </si>
  <si>
    <t xml:space="preserve">احمد ايمن </t>
  </si>
  <si>
    <t>العبور</t>
  </si>
  <si>
    <t xml:space="preserve">مصطفي غنيم </t>
  </si>
  <si>
    <t xml:space="preserve">اسيوط </t>
  </si>
  <si>
    <t xml:space="preserve">سرير كيفنج دورين مقاس ١٢٠ رمادى </t>
  </si>
  <si>
    <t>حسام عبدون</t>
  </si>
  <si>
    <t>الغردقه</t>
  </si>
  <si>
    <t xml:space="preserve">رامى </t>
  </si>
  <si>
    <t xml:space="preserve">سرير نوفال ١٠٠ رمادى </t>
  </si>
  <si>
    <t>رحاب</t>
  </si>
  <si>
    <t xml:space="preserve">فؤاد المنسي </t>
  </si>
  <si>
    <t xml:space="preserve">سرير نوفال مقاس ٨٠ ابيض </t>
  </si>
  <si>
    <t>mohannad</t>
  </si>
  <si>
    <t>EL-Maadi</t>
  </si>
  <si>
    <t>Mohamed Ayman</t>
  </si>
  <si>
    <t>Madinet Badr</t>
  </si>
  <si>
    <t>اسامه</t>
  </si>
  <si>
    <t xml:space="preserve">المخزن ابو الغيط </t>
  </si>
  <si>
    <t>ولاء بدوى</t>
  </si>
  <si>
    <t>عبد الرحمن يسري</t>
  </si>
  <si>
    <t>اكتوبر الجيزه</t>
  </si>
  <si>
    <t>التجمع</t>
  </si>
  <si>
    <t>4×1</t>
  </si>
  <si>
    <t xml:space="preserve">نبيتى </t>
  </si>
  <si>
    <t xml:space="preserve">اسود </t>
  </si>
  <si>
    <t>الحج محمد السويس</t>
  </si>
  <si>
    <t xml:space="preserve">السويس </t>
  </si>
  <si>
    <t>السويس</t>
  </si>
  <si>
    <t>فانتاستك</t>
  </si>
  <si>
    <t>ملون</t>
  </si>
  <si>
    <t xml:space="preserve">تم التسليم بمعرفه الحج سيد </t>
  </si>
  <si>
    <t>بيج</t>
  </si>
  <si>
    <t>فنيسيا</t>
  </si>
  <si>
    <t>شيزلونج</t>
  </si>
  <si>
    <t>عمرو الأسود</t>
  </si>
  <si>
    <t>الزمالك</t>
  </si>
  <si>
    <t>مخزن شيك هومز</t>
  </si>
  <si>
    <t xml:space="preserve">بترولى </t>
  </si>
  <si>
    <t xml:space="preserve">أكتوبر </t>
  </si>
  <si>
    <t>keira</t>
  </si>
  <si>
    <t xml:space="preserve">نوفال </t>
  </si>
  <si>
    <t>١٤٠/١٠٠</t>
  </si>
  <si>
    <t>بينك</t>
  </si>
  <si>
    <t>tarek</t>
  </si>
  <si>
    <t>reem</t>
  </si>
  <si>
    <t>البطاش اسكندريه</t>
  </si>
  <si>
    <t>١٠٠/١٤٠</t>
  </si>
  <si>
    <t>هشام سامى</t>
  </si>
  <si>
    <t>41 كومبوند جولدن جستس الدور 4 شقه 4</t>
  </si>
  <si>
    <t xml:space="preserve">منزلى </t>
  </si>
  <si>
    <t>بلحه</t>
  </si>
  <si>
    <t>فانتستيك</t>
  </si>
  <si>
    <t>المعرض مدينه نصر</t>
  </si>
  <si>
    <t>فاطمه محمد</t>
  </si>
  <si>
    <t>أكتوبر الجيزه</t>
  </si>
  <si>
    <t>الشيخ زايد اكتوبر</t>
  </si>
  <si>
    <t>بولا هومزمارت</t>
  </si>
  <si>
    <t xml:space="preserve">محمد شكرى </t>
  </si>
  <si>
    <t>مدينتى</t>
  </si>
  <si>
    <t>ارينا</t>
  </si>
  <si>
    <t>مسبق</t>
  </si>
  <si>
    <t>منزلى</t>
  </si>
  <si>
    <t>حماده</t>
  </si>
  <si>
    <t>صفاء عبد الباقي</t>
  </si>
  <si>
    <t xml:space="preserve">كينج </t>
  </si>
  <si>
    <t xml:space="preserve">دورين </t>
  </si>
  <si>
    <t xml:space="preserve">رندا العامرى </t>
  </si>
  <si>
    <t xml:space="preserve">كيمت </t>
  </si>
  <si>
    <t xml:space="preserve">كيفنج </t>
  </si>
  <si>
    <t>٦ اكتوبر الجيزه</t>
  </si>
  <si>
    <t xml:space="preserve">فردى </t>
  </si>
  <si>
    <t>امريكى</t>
  </si>
  <si>
    <t>محمد حمدى</t>
  </si>
  <si>
    <t xml:space="preserve">كوين </t>
  </si>
  <si>
    <t xml:space="preserve">بافلى هانى </t>
  </si>
  <si>
    <t xml:space="preserve">شبرا </t>
  </si>
  <si>
    <t xml:space="preserve">اسبانى </t>
  </si>
  <si>
    <t>t1</t>
  </si>
  <si>
    <t xml:space="preserve">تم التسليم م محمد </t>
  </si>
  <si>
    <t>رنا ميلاد</t>
  </si>
  <si>
    <t xml:space="preserve">جليم الإسكندرية </t>
  </si>
  <si>
    <t>مكتبه</t>
  </si>
  <si>
    <t>محمد ناجى</t>
  </si>
  <si>
    <t xml:space="preserve">دوران </t>
  </si>
  <si>
    <t>ميكانزم</t>
  </si>
  <si>
    <t>احمد عبد الستار</t>
  </si>
  <si>
    <t>المندره اسكندريه</t>
  </si>
  <si>
    <t xml:space="preserve">نور </t>
  </si>
  <si>
    <t>نور</t>
  </si>
  <si>
    <t>تامر</t>
  </si>
  <si>
    <t>٢ ميكانزم</t>
  </si>
  <si>
    <t xml:space="preserve">بيج </t>
  </si>
  <si>
    <t>هناء اسامه</t>
  </si>
  <si>
    <t>القطاميه</t>
  </si>
  <si>
    <t xml:space="preserve">محمد عادل </t>
  </si>
  <si>
    <t>مريم عنان</t>
  </si>
  <si>
    <t xml:space="preserve">اب تاون كايرو التجمع </t>
  </si>
  <si>
    <t xml:space="preserve">هبه عطيه </t>
  </si>
  <si>
    <t>دوران</t>
  </si>
  <si>
    <t>حمدى ذكرى</t>
  </si>
  <si>
    <t>Total Sales</t>
  </si>
  <si>
    <t xml:space="preserve">Sum of سعر البيع </t>
  </si>
  <si>
    <t>Total Orders</t>
  </si>
  <si>
    <t>Count of 0</t>
  </si>
  <si>
    <t>Average Selling Price</t>
  </si>
  <si>
    <t xml:space="preserve">Average of سعر البيع </t>
  </si>
  <si>
    <t>Row Labels</t>
  </si>
  <si>
    <t>Grand Total</t>
  </si>
  <si>
    <t>Sales By Plateform</t>
  </si>
  <si>
    <t>Best Seller</t>
  </si>
  <si>
    <t>Count of منتج</t>
  </si>
  <si>
    <t>Best Color Sold</t>
  </si>
  <si>
    <t>Count of الحالة</t>
  </si>
  <si>
    <t>بني</t>
  </si>
  <si>
    <t xml:space="preserve">غير معروف </t>
  </si>
  <si>
    <t>On-Time Delivery Rate</t>
  </si>
  <si>
    <t>Delivery Status Breakdown</t>
  </si>
  <si>
    <t>Orders By Area</t>
  </si>
  <si>
    <t>عدد الأفراد والشركات التي تتعامل مع Misuo</t>
  </si>
  <si>
    <t>مدة التسليم الفعلية</t>
  </si>
  <si>
    <t>مدة التسليم (الهدف)</t>
  </si>
  <si>
    <t>Column1</t>
  </si>
  <si>
    <t>المحافظة</t>
  </si>
  <si>
    <t>الجيزه</t>
  </si>
  <si>
    <t>اسكندريه</t>
  </si>
  <si>
    <t>القاهرة</t>
  </si>
  <si>
    <t>القليوبيه</t>
  </si>
  <si>
    <t>Column2</t>
  </si>
  <si>
    <t>متأخرة</t>
  </si>
  <si>
    <t>مسلمة في الموعد</t>
  </si>
  <si>
    <t>Count of Column2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</si>
</sst>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_(* \(#,##0.00\);_(* &quot;-&quot;??_);_(@_)"/>
    <numFmt numFmtId="164" formatCode="_(* #,##0_);_(* \(#,##0\);_(* &quot;-&quot;??_);_(@_)"/>
  </numFmts>
  <fonts count="7" x14ac:knownFonts="1">
    <font>
      <sz val="11"/>
      <color theme="1"/>
      <name val="Calibri"/>
      <family val="2"/>
      <scheme val="minor"/>
    </font>
    <font>
      <sz val="11"/>
      <color theme="1"/>
      <name val="Calibri"/>
      <family val="2"/>
      <scheme val="minor"/>
    </font>
    <font>
      <sz val="11"/>
      <color rgb="FF9C0006"/>
      <name val="Calibri"/>
      <family val="2"/>
      <scheme val="minor"/>
    </font>
    <font>
      <sz val="11"/>
      <color rgb="FF9C5700"/>
      <name val="Calibri"/>
      <family val="2"/>
      <scheme val="minor"/>
    </font>
    <font>
      <sz val="18"/>
      <color theme="0"/>
      <name val="Calibri"/>
      <family val="2"/>
      <scheme val="minor"/>
    </font>
    <font>
      <sz val="14"/>
      <color theme="0"/>
      <name val="Calibri"/>
      <family val="2"/>
      <scheme val="minor"/>
    </font>
    <font>
      <sz val="8"/>
      <name val="Calibri"/>
      <family val="2"/>
      <scheme val="minor"/>
    </font>
  </fonts>
  <fills count="7">
    <fill>
      <patternFill patternType="none"/>
    </fill>
    <fill>
      <patternFill patternType="gray125"/>
    </fill>
    <fill>
      <patternFill patternType="solid">
        <fgColor rgb="FFFFC7CE"/>
      </patternFill>
    </fill>
    <fill>
      <patternFill patternType="solid">
        <fgColor rgb="FFFFEB9C"/>
      </patternFill>
    </fill>
    <fill>
      <patternFill patternType="solid">
        <fgColor rgb="FF002060"/>
        <bgColor indexed="64"/>
      </patternFill>
    </fill>
    <fill>
      <patternFill patternType="solid">
        <fgColor rgb="FFFFFF00"/>
        <bgColor indexed="64"/>
      </patternFill>
    </fill>
    <fill>
      <patternFill patternType="solid">
        <fgColor rgb="FF1B2A49"/>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18">
    <xf numFmtId="0" fontId="0" fillId="0" borderId="0" xfId="0"/>
    <xf numFmtId="14" fontId="0" fillId="0" borderId="0" xfId="0" applyNumberFormat="1"/>
    <xf numFmtId="0" fontId="0" fillId="0" borderId="0" xfId="0" pivotButton="1"/>
    <xf numFmtId="164" fontId="0" fillId="0" borderId="0" xfId="1" applyNumberFormat="1" applyFont="1"/>
    <xf numFmtId="164" fontId="0" fillId="0" borderId="0" xfId="0" applyNumberFormat="1"/>
    <xf numFmtId="0" fontId="0" fillId="5" borderId="0" xfId="0" applyFill="1"/>
    <xf numFmtId="0" fontId="0" fillId="0" borderId="0" xfId="0" applyAlignment="1">
      <alignment horizontal="left"/>
    </xf>
    <xf numFmtId="10" fontId="0" fillId="0" borderId="0" xfId="0" applyNumberFormat="1"/>
    <xf numFmtId="0" fontId="3" fillId="3" borderId="0" xfId="0" applyFont="1" applyFill="1" applyAlignment="1">
      <alignment horizontal="left"/>
    </xf>
    <xf numFmtId="10" fontId="3" fillId="3" borderId="0" xfId="0" applyNumberFormat="1" applyFont="1" applyFill="1"/>
    <xf numFmtId="0" fontId="2" fillId="2" borderId="0" xfId="0" applyFont="1" applyFill="1" applyAlignment="1">
      <alignment horizontal="left"/>
    </xf>
    <xf numFmtId="0" fontId="0" fillId="6" borderId="0" xfId="0" applyFill="1"/>
    <xf numFmtId="10" fontId="0" fillId="0" borderId="0" xfId="2" applyNumberFormat="1" applyFont="1"/>
    <xf numFmtId="10" fontId="2" fillId="2" borderId="0" xfId="0" applyNumberFormat="1" applyFont="1" applyFill="1"/>
    <xf numFmtId="0" fontId="4" fillId="4" borderId="0" xfId="0" applyFont="1" applyFill="1" applyAlignment="1">
      <alignment horizontal="center" vertical="center"/>
    </xf>
    <xf numFmtId="0" fontId="5" fillId="4" borderId="0" xfId="0" applyFont="1" applyFill="1" applyAlignment="1">
      <alignment horizontal="center" vertical="center"/>
    </xf>
    <xf numFmtId="0" fontId="0" fillId="0" borderId="0" xfId="0" applyNumberFormat="1"/>
    <xf numFmtId="0" fontId="2" fillId="2" borderId="0" xfId="0" applyNumberFormat="1" applyFont="1" applyFill="1"/>
  </cellXfs>
  <cellStyles count="3">
    <cellStyle name="Comma" xfId="1" builtinId="3"/>
    <cellStyle name="Normal" xfId="0" builtinId="0"/>
    <cellStyle name="Percent" xfId="2" builtinId="5"/>
  </cellStyles>
  <dxfs count="250">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numFmt numFmtId="164" formatCode="_(* #,##0_);_(* \(#,##0\);_(* &quot;-&quot;??_);_(@_)"/>
    </dxf>
    <dxf>
      <numFmt numFmtId="164" formatCode="_(* #,##0_);_(* \(#,##0\);_(* &quot;-&quot;??_);_(@_)"/>
    </dxf>
    <dxf>
      <numFmt numFmtId="164" formatCode="_(* #,##0_);_(* \(#,##0\);_(* &quot;-&quot;??_);_(@_)"/>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numFmt numFmtId="164" formatCode="_(* #,##0_);_(* \(#,##0\);_(* &quot;-&quot;??_);_(@_)"/>
    </dxf>
    <dxf>
      <numFmt numFmtId="164" formatCode="_(* #,##0_);_(* \(#,##0\);_(* &quot;-&quot;??_);_(@_)"/>
    </dxf>
    <dxf>
      <numFmt numFmtId="164" formatCode="_(* #,##0_);_(* \(#,##0\);_(* &quot;-&quot;??_);_(@_)"/>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numFmt numFmtId="164" formatCode="_(* #,##0_);_(* \(#,##0\);_(* &quot;-&quot;??_);_(@_)"/>
    </dxf>
    <dxf>
      <numFmt numFmtId="164" formatCode="_(* #,##0_);_(* \(#,##0\);_(* &quot;-&quot;??_);_(@_)"/>
    </dxf>
    <dxf>
      <numFmt numFmtId="164" formatCode="_(* #,##0_);_(* \(#,##0\);_(* &quot;-&quot;??_);_(@_)"/>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numFmt numFmtId="164" formatCode="_(* #,##0_);_(* \(#,##0\);_(* &quot;-&quot;??_);_(@_)"/>
    </dxf>
    <dxf>
      <numFmt numFmtId="164" formatCode="_(* #,##0_);_(* \(#,##0\);_(* &quot;-&quot;??_);_(@_)"/>
    </dxf>
    <dxf>
      <numFmt numFmtId="164" formatCode="_(* #,##0_);_(* \(#,##0\);_(* &quot;-&quot;??_);_(@_)"/>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numFmt numFmtId="164" formatCode="_(* #,##0_);_(* \(#,##0\);_(* &quot;-&quot;??_);_(@_)"/>
    </dxf>
    <dxf>
      <numFmt numFmtId="164" formatCode="_(* #,##0_);_(* \(#,##0\);_(* &quot;-&quot;??_);_(@_)"/>
    </dxf>
    <dxf>
      <numFmt numFmtId="164" formatCode="_(* #,##0_);_(* \(#,##0\);_(* &quot;-&quot;??_);_(@_)"/>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numFmt numFmtId="164" formatCode="_(* #,##0_);_(* \(#,##0\);_(* &quot;-&quot;??_);_(@_)"/>
    </dxf>
    <dxf>
      <numFmt numFmtId="164" formatCode="_(* #,##0_);_(* \(#,##0\);_(* &quot;-&quot;??_);_(@_)"/>
    </dxf>
    <dxf>
      <numFmt numFmtId="164" formatCode="_(* #,##0_);_(* \(#,##0\);_(* &quot;-&quot;??_);_(@_)"/>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numFmt numFmtId="164" formatCode="_(* #,##0_);_(* \(#,##0\);_(* &quot;-&quot;??_);_(@_)"/>
    </dxf>
    <dxf>
      <numFmt numFmtId="164" formatCode="_(* #,##0_);_(* \(#,##0\);_(* &quot;-&quot;??_);_(@_)"/>
    </dxf>
    <dxf>
      <numFmt numFmtId="164" formatCode="_(* #,##0_);_(* \(#,##0\);_(* &quot;-&quot;??_);_(@_)"/>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numFmt numFmtId="164" formatCode="_(* #,##0_);_(* \(#,##0\);_(* &quot;-&quot;??_);_(@_)"/>
    </dxf>
    <dxf>
      <numFmt numFmtId="164" formatCode="_(* #,##0_);_(* \(#,##0\);_(* &quot;-&quot;??_);_(@_)"/>
    </dxf>
    <dxf>
      <numFmt numFmtId="164" formatCode="_(* #,##0_);_(* \(#,##0\);_(* &quot;-&quot;??_);_(@_)"/>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numFmt numFmtId="164" formatCode="_(* #,##0_);_(* \(#,##0\);_(* &quot;-&quot;??_);_(@_)"/>
    </dxf>
    <dxf>
      <numFmt numFmtId="164" formatCode="_(* #,##0_);_(* \(#,##0\);_(* &quot;-&quot;??_);_(@_)"/>
    </dxf>
    <dxf>
      <numFmt numFmtId="164" formatCode="_(* #,##0_);_(* \(#,##0\);_(* &quot;-&quot;??_);_(@_)"/>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numFmt numFmtId="164" formatCode="_(* #,##0_);_(* \(#,##0\);_(* &quot;-&quot;??_);_(@_)"/>
    </dxf>
    <dxf>
      <numFmt numFmtId="164" formatCode="_(* #,##0_);_(* \(#,##0\);_(* &quot;-&quot;??_);_(@_)"/>
    </dxf>
    <dxf>
      <numFmt numFmtId="164" formatCode="_(* #,##0_);_(* \(#,##0\);_(* &quot;-&quot;??_);_(@_)"/>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numFmt numFmtId="164" formatCode="_(* #,##0_);_(* \(#,##0\);_(* &quot;-&quot;??_);_(@_)"/>
    </dxf>
    <dxf>
      <numFmt numFmtId="164" formatCode="_(* #,##0_);_(* \(#,##0\);_(* &quot;-&quot;??_);_(@_)"/>
    </dxf>
    <dxf>
      <numFmt numFmtId="164" formatCode="_(* #,##0_);_(* \(#,##0\);_(* &quot;-&quot;??_);_(@_)"/>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numFmt numFmtId="164" formatCode="_(* #,##0_);_(* \(#,##0\);_(* &quot;-&quot;??_);_(@_)"/>
    </dxf>
    <dxf>
      <numFmt numFmtId="164" formatCode="_(* #,##0_);_(* \(#,##0\);_(* &quot;-&quot;??_);_(@_)"/>
    </dxf>
    <dxf>
      <numFmt numFmtId="164" formatCode="_(* #,##0_);_(* \(#,##0\);_(* &quot;-&quot;??_);_(@_)"/>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numFmt numFmtId="164" formatCode="_(* #,##0_);_(* \(#,##0\);_(* &quot;-&quot;??_);_(@_)"/>
    </dxf>
    <dxf>
      <numFmt numFmtId="164" formatCode="_(* #,##0_);_(* \(#,##0\);_(* &quot;-&quot;??_);_(@_)"/>
    </dxf>
    <dxf>
      <numFmt numFmtId="164" formatCode="_(* #,##0_);_(* \(#,##0\);_(* &quot;-&quot;??_);_(@_)"/>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numFmt numFmtId="164" formatCode="_(* #,##0_);_(* \(#,##0\);_(* &quot;-&quot;??_);_(@_)"/>
    </dxf>
    <dxf>
      <numFmt numFmtId="164" formatCode="_(* #,##0_);_(* \(#,##0\);_(* &quot;-&quot;??_);_(@_)"/>
    </dxf>
    <dxf>
      <numFmt numFmtId="164" formatCode="_(* #,##0_);_(* \(#,##0\);_(* &quot;-&quot;??_);_(@_)"/>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numFmt numFmtId="164" formatCode="_(* #,##0_);_(* \(#,##0\);_(* &quot;-&quot;??_);_(@_)"/>
    </dxf>
    <dxf>
      <numFmt numFmtId="164" formatCode="_(* #,##0_);_(* \(#,##0\);_(* &quot;-&quot;??_);_(@_)"/>
    </dxf>
    <dxf>
      <numFmt numFmtId="164" formatCode="_(* #,##0_);_(* \(#,##0\);_(* &quot;-&quot;??_);_(@_)"/>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numFmt numFmtId="164" formatCode="_(* #,##0_);_(* \(#,##0\);_(* &quot;-&quot;??_);_(@_)"/>
    </dxf>
    <dxf>
      <numFmt numFmtId="164" formatCode="_(* #,##0_);_(* \(#,##0\);_(* &quot;-&quot;??_);_(@_)"/>
    </dxf>
    <dxf>
      <numFmt numFmtId="164" formatCode="_(* #,##0_);_(* \(#,##0\);_(* &quot;-&quot;??_);_(@_)"/>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numFmt numFmtId="164" formatCode="_(* #,##0_);_(* \(#,##0\);_(* &quot;-&quot;??_);_(@_)"/>
    </dxf>
    <dxf>
      <numFmt numFmtId="164" formatCode="_(* #,##0_);_(* \(#,##0\);_(* &quot;-&quot;??_);_(@_)"/>
    </dxf>
    <dxf>
      <numFmt numFmtId="164" formatCode="_(* #,##0_);_(* \(#,##0\);_(* &quot;-&quot;??_);_(@_)"/>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numFmt numFmtId="164" formatCode="_(* #,##0_);_(* \(#,##0\);_(* &quot;-&quot;??_);_(@_)"/>
    </dxf>
    <dxf>
      <numFmt numFmtId="164" formatCode="_(* #,##0_);_(* \(#,##0\);_(* &quot;-&quot;??_);_(@_)"/>
    </dxf>
    <dxf>
      <numFmt numFmtId="164" formatCode="_(* #,##0_);_(* \(#,##0\);_(* &quot;-&quot;??_);_(@_)"/>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font>
        <b val="0"/>
        <i val="0"/>
        <strike val="0"/>
        <condense val="0"/>
        <extend val="0"/>
        <outline val="0"/>
        <shadow val="0"/>
        <u val="none"/>
        <vertAlign val="baseline"/>
        <sz val="11"/>
        <color rgb="FF9C5700"/>
        <name val="Calibri"/>
        <family val="2"/>
        <scheme val="minor"/>
      </font>
      <fill>
        <patternFill patternType="solid">
          <fgColor indexed="65"/>
          <bgColor rgb="FFFFEB9C"/>
        </patternFill>
      </fill>
    </dxf>
    <dxf>
      <numFmt numFmtId="164" formatCode="_(* #,##0_);_(* \(#,##0\);_(* &quot;-&quot;??_);_(@_)"/>
    </dxf>
    <dxf>
      <numFmt numFmtId="164" formatCode="_(* #,##0_);_(* \(#,##0\);_(* &quot;-&quot;??_);_(@_)"/>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numFmt numFmtId="164" formatCode="_(* #,##0_);_(* \(#,##0\);_(* &quot;-&quot;??_);_(@_)"/>
    </dxf>
    <dxf>
      <font>
        <b val="0"/>
        <i val="0"/>
        <strike val="0"/>
        <condense val="0"/>
        <extend val="0"/>
        <outline val="0"/>
        <shadow val="0"/>
        <u val="none"/>
        <vertAlign val="baseline"/>
        <sz val="11"/>
        <color rgb="FF9C0006"/>
        <name val="Calibri"/>
        <family val="2"/>
        <scheme val="minor"/>
      </font>
      <fill>
        <patternFill patternType="solid">
          <fgColor indexed="65"/>
          <bgColor rgb="FFFFC7CE"/>
        </patternFill>
      </fill>
    </dxf>
    <dxf>
      <numFmt numFmtId="0" formatCode="General"/>
    </dxf>
    <dxf>
      <numFmt numFmtId="0" formatCode="General"/>
    </dxf>
    <dxf>
      <numFmt numFmtId="19" formatCode="m/d/yyyy"/>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164" formatCode="_(* #,##0_);_(* \(#,##0\);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color theme="1"/>
      </font>
      <border>
        <bottom style="thin">
          <color theme="6"/>
        </bottom>
        <vertical/>
        <horizontal/>
      </border>
    </dxf>
    <dxf>
      <font>
        <color theme="1"/>
      </font>
      <fill>
        <patternFill>
          <bgColor rgb="FF1B2A49"/>
        </patternFill>
      </fill>
      <border diagonalUp="0" diagonalDown="0">
        <left/>
        <right/>
        <top/>
        <bottom/>
        <vertical/>
        <horizontal/>
      </border>
    </dxf>
  </dxfs>
  <tableStyles count="1" defaultTableStyle="TableStyleMedium2" defaultPivotStyle="PivotStyleLight16">
    <tableStyle name="SlicerStyleLight3 2" pivot="0" table="0" count="10" xr9:uid="{D2A7FBAA-A2DE-476E-A81D-07F5F103B986}">
      <tableStyleElement type="wholeTable" dxfId="249"/>
      <tableStyleElement type="headerRow" dxfId="248"/>
    </tableStyle>
  </tableStyles>
  <colors>
    <mruColors>
      <color rgb="FFD9B3C0"/>
      <color rgb="FF810004"/>
      <color rgb="FF1B2A49"/>
      <color rgb="FF232E4C"/>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a:sp3d/>
        </c:spPr>
        <c:marker>
          <c:symbol val="none"/>
        </c:marker>
        <c:dLbl>
          <c:idx val="0"/>
          <c:numFmt formatCode="#,##0" sourceLinked="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solidFill>
              <a:srgbClr val="D9B3C0"/>
            </a:solidFill>
            <a:ln>
              <a:noFill/>
            </a:ln>
            <a:effectLst/>
            <a:sp3d/>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تربيزه</c:v>
              </c:pt>
              <c:pt idx="1">
                <c:v>ركنة</c:v>
              </c:pt>
              <c:pt idx="2">
                <c:v>سرير</c:v>
              </c:pt>
              <c:pt idx="3">
                <c:v>شيزلونج</c:v>
              </c:pt>
              <c:pt idx="4">
                <c:v>كرسى</c:v>
              </c:pt>
              <c:pt idx="5">
                <c:v>كنبة </c:v>
              </c:pt>
            </c:strLit>
          </c:cat>
          <c:val>
            <c:numLit>
              <c:formatCode>General</c:formatCode>
              <c:ptCount val="6"/>
              <c:pt idx="0">
                <c:v>8870.9411764705874</c:v>
              </c:pt>
              <c:pt idx="1">
                <c:v>22000</c:v>
              </c:pt>
              <c:pt idx="2">
                <c:v>9585.747902727273</c:v>
              </c:pt>
              <c:pt idx="3">
                <c:v>10000</c:v>
              </c:pt>
              <c:pt idx="4">
                <c:v>9300</c:v>
              </c:pt>
              <c:pt idx="5">
                <c:v>14290.777777777777</c:v>
              </c:pt>
            </c:numLit>
          </c:val>
          <c:extLst>
            <c:ext xmlns:c16="http://schemas.microsoft.com/office/drawing/2014/chart" uri="{C3380CC4-5D6E-409C-BE32-E72D297353CC}">
              <c16:uniqueId val="{00000000-DAEF-4401-AA6B-F110E0E8BBB8}"/>
            </c:ext>
          </c:extLst>
        </c:ser>
        <c:dLbls>
          <c:showLegendKey val="0"/>
          <c:showVal val="0"/>
          <c:showCatName val="0"/>
          <c:showSerName val="0"/>
          <c:showPercent val="0"/>
          <c:showBubbleSize val="0"/>
        </c:dLbls>
        <c:gapWidth val="150"/>
        <c:shape val="box"/>
        <c:axId val="1894355423"/>
        <c:axId val="1894356383"/>
        <c:axId val="0"/>
      </c:bar3DChart>
      <c:catAx>
        <c:axId val="18943554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90000"/>
                  </a:schemeClr>
                </a:solidFill>
                <a:latin typeface="+mn-lt"/>
                <a:ea typeface="+mn-ea"/>
                <a:cs typeface="+mn-cs"/>
              </a:defRPr>
            </a:pPr>
            <a:endParaRPr lang="en-US"/>
          </a:p>
        </c:txPr>
        <c:crossAx val="1894356383"/>
        <c:crosses val="autoZero"/>
        <c:auto val="1"/>
        <c:lblAlgn val="ctr"/>
        <c:lblOffset val="100"/>
        <c:noMultiLvlLbl val="0"/>
      </c:catAx>
      <c:valAx>
        <c:axId val="1894356383"/>
        <c:scaling>
          <c:orientation val="minMax"/>
        </c:scaling>
        <c:delete val="0"/>
        <c:axPos val="l"/>
        <c:majorGridlines>
          <c:spPr>
            <a:ln w="9525" cap="flat" cmpd="sng" algn="ctr">
              <a:no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90000"/>
                  </a:schemeClr>
                </a:solidFill>
                <a:latin typeface="+mn-lt"/>
                <a:ea typeface="+mn-ea"/>
                <a:cs typeface="+mn-cs"/>
              </a:defRPr>
            </a:pPr>
            <a:endParaRPr lang="en-US"/>
          </a:p>
        </c:txPr>
        <c:crossAx val="18943554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Dashboard.xlsx]Power Pivot!PivotTable6</c:name>
    <c:fmtId val="17"/>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1000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810004"/>
          </a:solidFill>
          <a:ln>
            <a:noFill/>
          </a:ln>
          <a:effectLst/>
          <a:sp3d/>
        </c:spPr>
        <c:dLbl>
          <c:idx val="0"/>
          <c:layout>
            <c:manualLayout>
              <c:x val="-2.5409731874634497E-17"/>
              <c:y val="-0.310185185185185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810004"/>
          </a:solidFill>
          <a:ln>
            <a:noFill/>
          </a:ln>
          <a:effectLst/>
          <a:sp3d/>
        </c:spPr>
        <c:dLbl>
          <c:idx val="0"/>
          <c:layout>
            <c:manualLayout>
              <c:x val="2.4948024948024949E-2"/>
              <c:y val="-0.305555555555555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4.1580041580041582E-2"/>
              <c:y val="-0.17592592592592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810004"/>
          </a:solidFill>
          <a:ln>
            <a:noFill/>
          </a:ln>
          <a:effectLst/>
          <a:sp3d/>
        </c:spPr>
        <c:dLbl>
          <c:idx val="0"/>
          <c:layout>
            <c:manualLayout>
              <c:x val="8.3160083160082644E-3"/>
              <c:y val="-0.111111111111111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810004"/>
          </a:solidFill>
          <a:ln>
            <a:noFill/>
          </a:ln>
          <a:effectLst/>
          <a:sp3d/>
        </c:spPr>
        <c:dLbl>
          <c:idx val="0"/>
          <c:layout>
            <c:manualLayout>
              <c:x val="1.1088011088011038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810004"/>
          </a:solidFill>
          <a:ln>
            <a:noFill/>
          </a:ln>
          <a:effectLst/>
          <a:sp3d/>
        </c:spPr>
        <c:dLbl>
          <c:idx val="0"/>
          <c:layout>
            <c:manualLayout>
              <c:x val="2.2176022176022176E-2"/>
              <c:y val="-6.01851851851852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810004"/>
          </a:solidFill>
          <a:ln>
            <a:noFill/>
          </a:ln>
          <a:effectLst/>
          <a:sp3d/>
        </c:spPr>
        <c:dLbl>
          <c:idx val="0"/>
          <c:layout>
            <c:manualLayout>
              <c:x val="0"/>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810004"/>
          </a:solidFill>
          <a:ln>
            <a:noFill/>
          </a:ln>
          <a:effectLst/>
          <a:sp3d/>
        </c:spPr>
        <c:dLbl>
          <c:idx val="0"/>
          <c:layout>
            <c:manualLayout>
              <c:x val="-1.0163892749853799E-16"/>
              <c:y val="-4.629629629629638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810004"/>
          </a:solidFill>
          <a:ln>
            <a:noFill/>
          </a:ln>
          <a:effectLst/>
          <a:sp3d/>
        </c:spPr>
        <c:dLbl>
          <c:idx val="0"/>
          <c:layout>
            <c:manualLayout>
              <c:x val="-1.0163892749853799E-16"/>
              <c:y val="-5.555555555555555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810004"/>
          </a:solidFill>
          <a:ln>
            <a:noFill/>
          </a:ln>
          <a:effectLst/>
          <a:sp3d/>
        </c:spPr>
        <c:dLbl>
          <c:idx val="0"/>
          <c:layout>
            <c:manualLayout>
              <c:x val="-2.7720027720028735E-3"/>
              <c:y val="-5.555555555555564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810004"/>
          </a:solidFill>
          <a:ln>
            <a:noFill/>
          </a:ln>
          <a:effectLst/>
          <a:sp3d/>
        </c:spPr>
        <c:dLbl>
          <c:idx val="0"/>
          <c:layout>
            <c:manualLayout>
              <c:x val="0"/>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cked"/>
        <c:varyColors val="0"/>
        <c:ser>
          <c:idx val="0"/>
          <c:order val="0"/>
          <c:tx>
            <c:strRef>
              <c:f>'Power Pivot'!$AD$8</c:f>
              <c:strCache>
                <c:ptCount val="1"/>
                <c:pt idx="0">
                  <c:v>Total</c:v>
                </c:pt>
              </c:strCache>
            </c:strRef>
          </c:tx>
          <c:spPr>
            <a:solidFill>
              <a:srgbClr val="810004"/>
            </a:solidFill>
            <a:ln>
              <a:noFill/>
            </a:ln>
            <a:effectLst/>
            <a:sp3d/>
          </c:spPr>
          <c:dPt>
            <c:idx val="0"/>
            <c:bubble3D val="0"/>
            <c:extLst>
              <c:ext xmlns:c16="http://schemas.microsoft.com/office/drawing/2014/chart" uri="{C3380CC4-5D6E-409C-BE32-E72D297353CC}">
                <c16:uniqueId val="{00000001-EECB-490B-B8C8-0B6FE11E4331}"/>
              </c:ext>
            </c:extLst>
          </c:dPt>
          <c:dPt>
            <c:idx val="1"/>
            <c:bubble3D val="0"/>
            <c:extLst>
              <c:ext xmlns:c16="http://schemas.microsoft.com/office/drawing/2014/chart" uri="{C3380CC4-5D6E-409C-BE32-E72D297353CC}">
                <c16:uniqueId val="{00000000-EECB-490B-B8C8-0B6FE11E4331}"/>
              </c:ext>
            </c:extLst>
          </c:dPt>
          <c:dPt>
            <c:idx val="2"/>
            <c:bubble3D val="0"/>
            <c:extLst>
              <c:ext xmlns:c16="http://schemas.microsoft.com/office/drawing/2014/chart" uri="{C3380CC4-5D6E-409C-BE32-E72D297353CC}">
                <c16:uniqueId val="{00000002-EECB-490B-B8C8-0B6FE11E4331}"/>
              </c:ext>
            </c:extLst>
          </c:dPt>
          <c:dPt>
            <c:idx val="3"/>
            <c:bubble3D val="0"/>
            <c:extLst>
              <c:ext xmlns:c16="http://schemas.microsoft.com/office/drawing/2014/chart" uri="{C3380CC4-5D6E-409C-BE32-E72D297353CC}">
                <c16:uniqueId val="{00000003-EECB-490B-B8C8-0B6FE11E4331}"/>
              </c:ext>
            </c:extLst>
          </c:dPt>
          <c:dPt>
            <c:idx val="4"/>
            <c:bubble3D val="0"/>
            <c:extLst>
              <c:ext xmlns:c16="http://schemas.microsoft.com/office/drawing/2014/chart" uri="{C3380CC4-5D6E-409C-BE32-E72D297353CC}">
                <c16:uniqueId val="{00000004-EECB-490B-B8C8-0B6FE11E4331}"/>
              </c:ext>
            </c:extLst>
          </c:dPt>
          <c:dPt>
            <c:idx val="5"/>
            <c:bubble3D val="0"/>
            <c:extLst>
              <c:ext xmlns:c16="http://schemas.microsoft.com/office/drawing/2014/chart" uri="{C3380CC4-5D6E-409C-BE32-E72D297353CC}">
                <c16:uniqueId val="{00000005-EECB-490B-B8C8-0B6FE11E4331}"/>
              </c:ext>
            </c:extLst>
          </c:dPt>
          <c:dPt>
            <c:idx val="6"/>
            <c:bubble3D val="0"/>
            <c:extLst>
              <c:ext xmlns:c16="http://schemas.microsoft.com/office/drawing/2014/chart" uri="{C3380CC4-5D6E-409C-BE32-E72D297353CC}">
                <c16:uniqueId val="{00000006-EECB-490B-B8C8-0B6FE11E4331}"/>
              </c:ext>
            </c:extLst>
          </c:dPt>
          <c:dPt>
            <c:idx val="7"/>
            <c:bubble3D val="0"/>
            <c:extLst>
              <c:ext xmlns:c16="http://schemas.microsoft.com/office/drawing/2014/chart" uri="{C3380CC4-5D6E-409C-BE32-E72D297353CC}">
                <c16:uniqueId val="{00000007-EECB-490B-B8C8-0B6FE11E4331}"/>
              </c:ext>
            </c:extLst>
          </c:dPt>
          <c:dPt>
            <c:idx val="8"/>
            <c:bubble3D val="0"/>
            <c:extLst>
              <c:ext xmlns:c16="http://schemas.microsoft.com/office/drawing/2014/chart" uri="{C3380CC4-5D6E-409C-BE32-E72D297353CC}">
                <c16:uniqueId val="{00000008-EECB-490B-B8C8-0B6FE11E4331}"/>
              </c:ext>
            </c:extLst>
          </c:dPt>
          <c:dPt>
            <c:idx val="9"/>
            <c:bubble3D val="0"/>
            <c:extLst>
              <c:ext xmlns:c16="http://schemas.microsoft.com/office/drawing/2014/chart" uri="{C3380CC4-5D6E-409C-BE32-E72D297353CC}">
                <c16:uniqueId val="{00000009-EECB-490B-B8C8-0B6FE11E4331}"/>
              </c:ext>
            </c:extLst>
          </c:dPt>
          <c:dLbls>
            <c:dLbl>
              <c:idx val="0"/>
              <c:layout>
                <c:manualLayout>
                  <c:x val="-2.5409731874634497E-17"/>
                  <c:y val="-0.310185185185185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ECB-490B-B8C8-0B6FE11E4331}"/>
                </c:ext>
              </c:extLst>
            </c:dLbl>
            <c:dLbl>
              <c:idx val="1"/>
              <c:layout>
                <c:manualLayout>
                  <c:x val="2.4948024948024949E-2"/>
                  <c:y val="-0.305555555555555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ECB-490B-B8C8-0B6FE11E4331}"/>
                </c:ext>
              </c:extLst>
            </c:dLbl>
            <c:dLbl>
              <c:idx val="2"/>
              <c:layout>
                <c:manualLayout>
                  <c:x val="8.3160083160082644E-3"/>
                  <c:y val="-0.111111111111111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ECB-490B-B8C8-0B6FE11E4331}"/>
                </c:ext>
              </c:extLst>
            </c:dLbl>
            <c:dLbl>
              <c:idx val="3"/>
              <c:layout>
                <c:manualLayout>
                  <c:x val="1.1088011088011038E-2"/>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ECB-490B-B8C8-0B6FE11E4331}"/>
                </c:ext>
              </c:extLst>
            </c:dLbl>
            <c:dLbl>
              <c:idx val="4"/>
              <c:layout>
                <c:manualLayout>
                  <c:x val="2.2176022176022176E-2"/>
                  <c:y val="-6.01851851851852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ECB-490B-B8C8-0B6FE11E4331}"/>
                </c:ext>
              </c:extLst>
            </c:dLbl>
            <c:dLbl>
              <c:idx val="5"/>
              <c:layout>
                <c:manualLayout>
                  <c:x val="-1.0163892749853799E-16"/>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ECB-490B-B8C8-0B6FE11E4331}"/>
                </c:ext>
              </c:extLst>
            </c:dLbl>
            <c:dLbl>
              <c:idx val="6"/>
              <c:layout>
                <c:manualLayout>
                  <c:x val="0"/>
                  <c:y val="-5.555555555555555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ECB-490B-B8C8-0B6FE11E4331}"/>
                </c:ext>
              </c:extLst>
            </c:dLbl>
            <c:dLbl>
              <c:idx val="7"/>
              <c:layout>
                <c:manualLayout>
                  <c:x val="0"/>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ECB-490B-B8C8-0B6FE11E4331}"/>
                </c:ext>
              </c:extLst>
            </c:dLbl>
            <c:dLbl>
              <c:idx val="8"/>
              <c:layout>
                <c:manualLayout>
                  <c:x val="-1.0163892749853799E-16"/>
                  <c:y val="-4.629629629629638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ECB-490B-B8C8-0B6FE11E4331}"/>
                </c:ext>
              </c:extLst>
            </c:dLbl>
            <c:dLbl>
              <c:idx val="9"/>
              <c:layout>
                <c:manualLayout>
                  <c:x val="-2.7720027720028735E-3"/>
                  <c:y val="-5.555555555555564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ECB-490B-B8C8-0B6FE11E433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'Power Pivot'!$AC$9:$AC$19</c:f>
              <c:strCache>
                <c:ptCount val="10"/>
                <c:pt idx="0">
                  <c:v>ابيض</c:v>
                </c:pt>
                <c:pt idx="1">
                  <c:v>اسود</c:v>
                </c:pt>
                <c:pt idx="2">
                  <c:v>رمادى</c:v>
                </c:pt>
                <c:pt idx="3">
                  <c:v>اسود </c:v>
                </c:pt>
                <c:pt idx="4">
                  <c:v>ملون</c:v>
                </c:pt>
                <c:pt idx="5">
                  <c:v>ازرق</c:v>
                </c:pt>
                <c:pt idx="6">
                  <c:v>نبيتى </c:v>
                </c:pt>
                <c:pt idx="7">
                  <c:v>دهبي</c:v>
                </c:pt>
                <c:pt idx="8">
                  <c:v>بنفسجى</c:v>
                </c:pt>
                <c:pt idx="9">
                  <c:v>بينك</c:v>
                </c:pt>
              </c:strCache>
            </c:strRef>
          </c:cat>
          <c:val>
            <c:numRef>
              <c:f>'Power Pivot'!$AD$9:$AD$19</c:f>
              <c:numCache>
                <c:formatCode>General</c:formatCode>
                <c:ptCount val="10"/>
                <c:pt idx="0">
                  <c:v>32</c:v>
                </c:pt>
                <c:pt idx="1">
                  <c:v>31</c:v>
                </c:pt>
                <c:pt idx="2">
                  <c:v>7</c:v>
                </c:pt>
                <c:pt idx="3">
                  <c:v>7</c:v>
                </c:pt>
                <c:pt idx="4">
                  <c:v>5</c:v>
                </c:pt>
                <c:pt idx="5">
                  <c:v>2</c:v>
                </c:pt>
                <c:pt idx="6">
                  <c:v>2</c:v>
                </c:pt>
                <c:pt idx="7">
                  <c:v>2</c:v>
                </c:pt>
                <c:pt idx="8">
                  <c:v>2</c:v>
                </c:pt>
                <c:pt idx="9">
                  <c:v>2</c:v>
                </c:pt>
              </c:numCache>
            </c:numRef>
          </c:val>
          <c:extLst>
            <c:ext xmlns:c16="http://schemas.microsoft.com/office/drawing/2014/chart" uri="{C3380CC4-5D6E-409C-BE32-E72D297353CC}">
              <c16:uniqueId val="{00000000-ACCA-478D-8601-92AF7D4D04CF}"/>
            </c:ext>
          </c:extLst>
        </c:ser>
        <c:dLbls>
          <c:showLegendKey val="0"/>
          <c:showVal val="0"/>
          <c:showCatName val="0"/>
          <c:showSerName val="0"/>
          <c:showPercent val="0"/>
          <c:showBubbleSize val="0"/>
        </c:dLbls>
        <c:axId val="1340951759"/>
        <c:axId val="1340952239"/>
        <c:axId val="0"/>
      </c:area3DChart>
      <c:catAx>
        <c:axId val="1340951759"/>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2">
                    <a:lumMod val="90000"/>
                  </a:schemeClr>
                </a:solidFill>
                <a:latin typeface="+mn-lt"/>
                <a:ea typeface="+mn-ea"/>
                <a:cs typeface="+mn-cs"/>
              </a:defRPr>
            </a:pPr>
            <a:endParaRPr lang="en-US"/>
          </a:p>
        </c:txPr>
        <c:crossAx val="1340952239"/>
        <c:crosses val="autoZero"/>
        <c:auto val="1"/>
        <c:lblAlgn val="ctr"/>
        <c:lblOffset val="100"/>
        <c:noMultiLvlLbl val="0"/>
      </c:catAx>
      <c:valAx>
        <c:axId val="1340952239"/>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90000"/>
                  </a:schemeClr>
                </a:solidFill>
                <a:latin typeface="+mn-lt"/>
                <a:ea typeface="+mn-ea"/>
                <a:cs typeface="+mn-cs"/>
              </a:defRPr>
            </a:pPr>
            <a:endParaRPr lang="en-US"/>
          </a:p>
        </c:txPr>
        <c:crossAx val="134095175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Dashboard.xlsx]Power Pivot!PivotTable5</c:name>
    <c:fmtId val="1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90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810004"/>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layout>
            <c:manualLayout>
              <c:x val="-2.7342780259019126E-2"/>
              <c:y val="-2.129361601950243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90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dLbl>
          <c:idx val="0"/>
          <c:layout>
            <c:manualLayout>
              <c:x val="-6.2390647005087396E-2"/>
              <c:y val="4.45348424797456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90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14"/>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584995625546804"/>
          <c:y val="0.1128040401022147"/>
          <c:w val="0.71682895888013998"/>
          <c:h val="0.79629629629629628"/>
        </c:manualLayout>
      </c:layout>
      <c:pie3DChart>
        <c:varyColors val="1"/>
        <c:ser>
          <c:idx val="0"/>
          <c:order val="0"/>
          <c:tx>
            <c:strRef>
              <c:f>'Power Pivot'!$X$8</c:f>
              <c:strCache>
                <c:ptCount val="1"/>
                <c:pt idx="0">
                  <c:v>Total</c:v>
                </c:pt>
              </c:strCache>
            </c:strRef>
          </c:tx>
          <c:dPt>
            <c:idx val="0"/>
            <c:bubble3D val="0"/>
            <c:spPr>
              <a:solidFill>
                <a:srgbClr val="810004"/>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C6BA-4E2C-90C9-82184EDBB561}"/>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C6BA-4E2C-90C9-82184EDBB561}"/>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C6BA-4E2C-90C9-82184EDBB561}"/>
              </c:ext>
            </c:extLst>
          </c:dPt>
          <c:dPt>
            <c:idx val="3"/>
            <c:bubble3D val="0"/>
            <c:spPr>
              <a:solidFill>
                <a:schemeClr val="bg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7-C6BA-4E2C-90C9-82184EDBB561}"/>
              </c:ext>
            </c:extLst>
          </c:dPt>
          <c:dPt>
            <c:idx val="4"/>
            <c:bubble3D val="0"/>
            <c:spPr>
              <a:solidFill>
                <a:schemeClr val="accent5"/>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9-C6BA-4E2C-90C9-82184EDBB561}"/>
              </c:ext>
            </c:extLst>
          </c:dPt>
          <c:dPt>
            <c:idx val="5"/>
            <c:bubble3D val="0"/>
            <c:spPr>
              <a:solidFill>
                <a:schemeClr val="accent6"/>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B-C6BA-4E2C-90C9-82184EDBB561}"/>
              </c:ext>
            </c:extLst>
          </c:dPt>
          <c:dLbls>
            <c:dLbl>
              <c:idx val="1"/>
              <c:layout>
                <c:manualLayout>
                  <c:x val="-2.7342780259019126E-2"/>
                  <c:y val="-2.1293616019502432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6BA-4E2C-90C9-82184EDBB561}"/>
                </c:ext>
              </c:extLst>
            </c:dLbl>
            <c:dLbl>
              <c:idx val="2"/>
              <c:layout>
                <c:manualLayout>
                  <c:x val="-6.2390647005087396E-2"/>
                  <c:y val="4.4534842479745623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6BA-4E2C-90C9-82184EDBB56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lumMod val="90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'Power Pivot'!$W$9:$W$15</c:f>
              <c:strCache>
                <c:ptCount val="6"/>
                <c:pt idx="0">
                  <c:v>سرير</c:v>
                </c:pt>
                <c:pt idx="1">
                  <c:v>كنبة </c:v>
                </c:pt>
                <c:pt idx="2">
                  <c:v>تربيزه</c:v>
                </c:pt>
                <c:pt idx="3">
                  <c:v>كرسى</c:v>
                </c:pt>
                <c:pt idx="4">
                  <c:v>ركنة</c:v>
                </c:pt>
                <c:pt idx="5">
                  <c:v>شيزلونج</c:v>
                </c:pt>
              </c:strCache>
            </c:strRef>
          </c:cat>
          <c:val>
            <c:numRef>
              <c:f>'Power Pivot'!$X$9:$X$15</c:f>
              <c:numCache>
                <c:formatCode>General</c:formatCode>
                <c:ptCount val="6"/>
                <c:pt idx="0">
                  <c:v>75</c:v>
                </c:pt>
                <c:pt idx="1">
                  <c:v>16</c:v>
                </c:pt>
                <c:pt idx="2">
                  <c:v>12</c:v>
                </c:pt>
                <c:pt idx="3">
                  <c:v>1</c:v>
                </c:pt>
                <c:pt idx="4">
                  <c:v>1</c:v>
                </c:pt>
                <c:pt idx="5">
                  <c:v>1</c:v>
                </c:pt>
              </c:numCache>
            </c:numRef>
          </c:val>
          <c:extLst>
            <c:ext xmlns:c16="http://schemas.microsoft.com/office/drawing/2014/chart" uri="{C3380CC4-5D6E-409C-BE32-E72D297353CC}">
              <c16:uniqueId val="{0000000C-C6BA-4E2C-90C9-82184EDBB561}"/>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rgbClr val="232E4C">
            <a:alpha val="78000"/>
          </a:srgbClr>
        </a:solidFill>
        <a:ln>
          <a:noFill/>
        </a:ln>
        <a:effectLst/>
      </c:spPr>
      <c:txPr>
        <a:bodyPr rot="0" spcFirstLastPara="1" vertOverflow="ellipsis" vert="horz" wrap="square" anchor="ctr" anchorCtr="1"/>
        <a:lstStyle/>
        <a:p>
          <a:pPr>
            <a:defRPr sz="900" b="0" i="0" u="none" strike="noStrike" kern="1200" baseline="0">
              <a:solidFill>
                <a:srgbClr val="D9B3C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Dashboard.xlsx]Power Pivot!PivotTable8</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1000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810004"/>
          </a:solidFill>
          <a:ln>
            <a:noFill/>
          </a:ln>
          <a:effectLst/>
        </c:spPr>
        <c:dLbl>
          <c:idx val="0"/>
          <c:layout>
            <c:manualLayout>
              <c:x val="3.6159182973295588E-2"/>
              <c:y val="-0.409598884447309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810004"/>
          </a:solidFill>
          <a:ln>
            <a:noFill/>
          </a:ln>
          <a:effectLst/>
        </c:spPr>
        <c:dLbl>
          <c:idx val="0"/>
          <c:layout>
            <c:manualLayout>
              <c:x val="2.711938722997172E-2"/>
              <c:y val="-0.19789609023858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10004"/>
          </a:solidFill>
          <a:ln>
            <a:noFill/>
          </a:ln>
          <a:effectLst/>
        </c:spPr>
        <c:dLbl>
          <c:idx val="0"/>
          <c:layout>
            <c:manualLayout>
              <c:x val="3.0132652477746324E-2"/>
              <c:y val="-0.1058513971043610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810004"/>
          </a:solidFill>
          <a:ln>
            <a:noFill/>
          </a:ln>
          <a:effectLst/>
        </c:spPr>
        <c:dLbl>
          <c:idx val="0"/>
          <c:layout>
            <c:manualLayout>
              <c:x val="1.8079591486647794E-2"/>
              <c:y val="-8.28402238208041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810004"/>
          </a:solidFill>
          <a:ln>
            <a:noFill/>
          </a:ln>
          <a:effectLst/>
        </c:spPr>
        <c:dLbl>
          <c:idx val="0"/>
          <c:layout>
            <c:manualLayout>
              <c:x val="6.0265304955492652E-3"/>
              <c:y val="-8.284022382080420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810004"/>
          </a:solidFill>
          <a:ln>
            <a:noFill/>
          </a:ln>
          <a:effectLst/>
        </c:spPr>
        <c:dLbl>
          <c:idx val="0"/>
          <c:layout>
            <c:manualLayout>
              <c:x val="-1.1048511608491412E-16"/>
              <c:y val="-6.443128519395890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810004"/>
          </a:solidFill>
          <a:ln>
            <a:noFill/>
          </a:ln>
          <a:effectLst/>
        </c:spPr>
        <c:dLbl>
          <c:idx val="0"/>
          <c:layout>
            <c:manualLayout>
              <c:x val="-1.1048511608491412E-16"/>
              <c:y val="-4.60223465671134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810004"/>
          </a:solidFill>
          <a:ln>
            <a:noFill/>
          </a:ln>
          <a:effectLst/>
        </c:spPr>
        <c:dLbl>
          <c:idx val="0"/>
          <c:layout>
            <c:manualLayout>
              <c:x val="-3.0132652477747428E-3"/>
              <c:y val="-3.681787725369083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'Power Pivot'!$AW$9</c:f>
              <c:strCache>
                <c:ptCount val="1"/>
                <c:pt idx="0">
                  <c:v>Total</c:v>
                </c:pt>
              </c:strCache>
            </c:strRef>
          </c:tx>
          <c:spPr>
            <a:solidFill>
              <a:srgbClr val="810004"/>
            </a:solidFill>
            <a:ln>
              <a:noFill/>
            </a:ln>
            <a:effectLst/>
          </c:spPr>
          <c:dPt>
            <c:idx val="0"/>
            <c:bubble3D val="0"/>
            <c:extLst>
              <c:ext xmlns:c16="http://schemas.microsoft.com/office/drawing/2014/chart" uri="{C3380CC4-5D6E-409C-BE32-E72D297353CC}">
                <c16:uniqueId val="{00000001-2016-427B-9795-DB93025F5BA2}"/>
              </c:ext>
            </c:extLst>
          </c:dPt>
          <c:dPt>
            <c:idx val="1"/>
            <c:bubble3D val="0"/>
            <c:extLst>
              <c:ext xmlns:c16="http://schemas.microsoft.com/office/drawing/2014/chart" uri="{C3380CC4-5D6E-409C-BE32-E72D297353CC}">
                <c16:uniqueId val="{00000002-2016-427B-9795-DB93025F5BA2}"/>
              </c:ext>
            </c:extLst>
          </c:dPt>
          <c:dPt>
            <c:idx val="2"/>
            <c:bubble3D val="0"/>
            <c:extLst>
              <c:ext xmlns:c16="http://schemas.microsoft.com/office/drawing/2014/chart" uri="{C3380CC4-5D6E-409C-BE32-E72D297353CC}">
                <c16:uniqueId val="{00000003-2016-427B-9795-DB93025F5BA2}"/>
              </c:ext>
            </c:extLst>
          </c:dPt>
          <c:dPt>
            <c:idx val="3"/>
            <c:bubble3D val="0"/>
            <c:extLst>
              <c:ext xmlns:c16="http://schemas.microsoft.com/office/drawing/2014/chart" uri="{C3380CC4-5D6E-409C-BE32-E72D297353CC}">
                <c16:uniqueId val="{00000004-2016-427B-9795-DB93025F5BA2}"/>
              </c:ext>
            </c:extLst>
          </c:dPt>
          <c:dPt>
            <c:idx val="4"/>
            <c:bubble3D val="0"/>
            <c:extLst>
              <c:ext xmlns:c16="http://schemas.microsoft.com/office/drawing/2014/chart" uri="{C3380CC4-5D6E-409C-BE32-E72D297353CC}">
                <c16:uniqueId val="{00000005-2016-427B-9795-DB93025F5BA2}"/>
              </c:ext>
            </c:extLst>
          </c:dPt>
          <c:dPt>
            <c:idx val="5"/>
            <c:bubble3D val="0"/>
            <c:extLst>
              <c:ext xmlns:c16="http://schemas.microsoft.com/office/drawing/2014/chart" uri="{C3380CC4-5D6E-409C-BE32-E72D297353CC}">
                <c16:uniqueId val="{00000006-2016-427B-9795-DB93025F5BA2}"/>
              </c:ext>
            </c:extLst>
          </c:dPt>
          <c:dPt>
            <c:idx val="6"/>
            <c:bubble3D val="0"/>
            <c:extLst>
              <c:ext xmlns:c16="http://schemas.microsoft.com/office/drawing/2014/chart" uri="{C3380CC4-5D6E-409C-BE32-E72D297353CC}">
                <c16:uniqueId val="{00000007-2016-427B-9795-DB93025F5BA2}"/>
              </c:ext>
            </c:extLst>
          </c:dPt>
          <c:dPt>
            <c:idx val="7"/>
            <c:bubble3D val="0"/>
            <c:extLst>
              <c:ext xmlns:c16="http://schemas.microsoft.com/office/drawing/2014/chart" uri="{C3380CC4-5D6E-409C-BE32-E72D297353CC}">
                <c16:uniqueId val="{00000008-2016-427B-9795-DB93025F5BA2}"/>
              </c:ext>
            </c:extLst>
          </c:dPt>
          <c:dLbls>
            <c:dLbl>
              <c:idx val="0"/>
              <c:layout>
                <c:manualLayout>
                  <c:x val="3.6159182973295588E-2"/>
                  <c:y val="-0.409598884447309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016-427B-9795-DB93025F5BA2}"/>
                </c:ext>
              </c:extLst>
            </c:dLbl>
            <c:dLbl>
              <c:idx val="1"/>
              <c:layout>
                <c:manualLayout>
                  <c:x val="2.711938722997172E-2"/>
                  <c:y val="-0.19789609023858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016-427B-9795-DB93025F5BA2}"/>
                </c:ext>
              </c:extLst>
            </c:dLbl>
            <c:dLbl>
              <c:idx val="2"/>
              <c:layout>
                <c:manualLayout>
                  <c:x val="3.0132652477746324E-2"/>
                  <c:y val="-0.1058513971043610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016-427B-9795-DB93025F5BA2}"/>
                </c:ext>
              </c:extLst>
            </c:dLbl>
            <c:dLbl>
              <c:idx val="3"/>
              <c:layout>
                <c:manualLayout>
                  <c:x val="1.8079591486647794E-2"/>
                  <c:y val="-8.28402238208041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016-427B-9795-DB93025F5BA2}"/>
                </c:ext>
              </c:extLst>
            </c:dLbl>
            <c:dLbl>
              <c:idx val="4"/>
              <c:layout>
                <c:manualLayout>
                  <c:x val="6.0265304955492652E-3"/>
                  <c:y val="-8.28402238208042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016-427B-9795-DB93025F5BA2}"/>
                </c:ext>
              </c:extLst>
            </c:dLbl>
            <c:dLbl>
              <c:idx val="5"/>
              <c:layout>
                <c:manualLayout>
                  <c:x val="-1.1048511608491412E-16"/>
                  <c:y val="-6.44312851939589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016-427B-9795-DB93025F5BA2}"/>
                </c:ext>
              </c:extLst>
            </c:dLbl>
            <c:dLbl>
              <c:idx val="6"/>
              <c:layout>
                <c:manualLayout>
                  <c:x val="-1.1048511608491412E-16"/>
                  <c:y val="-4.60223465671134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016-427B-9795-DB93025F5BA2}"/>
                </c:ext>
              </c:extLst>
            </c:dLbl>
            <c:dLbl>
              <c:idx val="7"/>
              <c:layout>
                <c:manualLayout>
                  <c:x val="-3.0132652477747428E-3"/>
                  <c:y val="-3.68178772536908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016-427B-9795-DB93025F5BA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'Power Pivot'!$AV$10:$AV$18</c:f>
              <c:strCache>
                <c:ptCount val="8"/>
                <c:pt idx="0">
                  <c:v>القاهرة</c:v>
                </c:pt>
                <c:pt idx="1">
                  <c:v>الجيزه</c:v>
                </c:pt>
                <c:pt idx="2">
                  <c:v>القليوبيه</c:v>
                </c:pt>
                <c:pt idx="3">
                  <c:v>السويس</c:v>
                </c:pt>
                <c:pt idx="4">
                  <c:v>اسكندريه</c:v>
                </c:pt>
                <c:pt idx="5">
                  <c:v>اسيوط </c:v>
                </c:pt>
                <c:pt idx="6">
                  <c:v>الغردقه</c:v>
                </c:pt>
                <c:pt idx="7">
                  <c:v>الغردقه </c:v>
                </c:pt>
              </c:strCache>
            </c:strRef>
          </c:cat>
          <c:val>
            <c:numRef>
              <c:f>'Power Pivot'!$AW$10:$AW$18</c:f>
              <c:numCache>
                <c:formatCode>General</c:formatCode>
                <c:ptCount val="8"/>
                <c:pt idx="0">
                  <c:v>50</c:v>
                </c:pt>
                <c:pt idx="1">
                  <c:v>21</c:v>
                </c:pt>
                <c:pt idx="2">
                  <c:v>12</c:v>
                </c:pt>
                <c:pt idx="3">
                  <c:v>7</c:v>
                </c:pt>
                <c:pt idx="4">
                  <c:v>4</c:v>
                </c:pt>
                <c:pt idx="5">
                  <c:v>1</c:v>
                </c:pt>
                <c:pt idx="6">
                  <c:v>1</c:v>
                </c:pt>
                <c:pt idx="7">
                  <c:v>1</c:v>
                </c:pt>
              </c:numCache>
            </c:numRef>
          </c:val>
          <c:extLst>
            <c:ext xmlns:c16="http://schemas.microsoft.com/office/drawing/2014/chart" uri="{C3380CC4-5D6E-409C-BE32-E72D297353CC}">
              <c16:uniqueId val="{00000000-2016-427B-9795-DB93025F5BA2}"/>
            </c:ext>
          </c:extLst>
        </c:ser>
        <c:dLbls>
          <c:showLegendKey val="0"/>
          <c:showVal val="0"/>
          <c:showCatName val="0"/>
          <c:showSerName val="0"/>
          <c:showPercent val="0"/>
          <c:showBubbleSize val="0"/>
        </c:dLbls>
        <c:axId val="922239120"/>
        <c:axId val="922239600"/>
      </c:areaChart>
      <c:catAx>
        <c:axId val="922239120"/>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2">
                    <a:lumMod val="90000"/>
                  </a:schemeClr>
                </a:solidFill>
                <a:latin typeface="+mn-lt"/>
                <a:ea typeface="+mn-ea"/>
                <a:cs typeface="+mn-cs"/>
              </a:defRPr>
            </a:pPr>
            <a:endParaRPr lang="en-US"/>
          </a:p>
        </c:txPr>
        <c:crossAx val="922239600"/>
        <c:crosses val="autoZero"/>
        <c:auto val="1"/>
        <c:lblAlgn val="ctr"/>
        <c:lblOffset val="100"/>
        <c:noMultiLvlLbl val="0"/>
      </c:catAx>
      <c:valAx>
        <c:axId val="922239600"/>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90000"/>
                  </a:schemeClr>
                </a:solidFill>
                <a:latin typeface="+mn-lt"/>
                <a:ea typeface="+mn-ea"/>
                <a:cs typeface="+mn-cs"/>
              </a:defRPr>
            </a:pPr>
            <a:endParaRPr lang="en-US"/>
          </a:p>
        </c:txPr>
        <c:crossAx val="92223912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rgbClr val="D9B3C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Dashboard.xlsx]Power Pivot!PivotTable4</c:name>
    <c:fmtId val="4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9B3C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'Power Pivot'!$R$7</c:f>
              <c:strCache>
                <c:ptCount val="1"/>
                <c:pt idx="0">
                  <c:v>Total</c:v>
                </c:pt>
              </c:strCache>
            </c:strRef>
          </c:tx>
          <c:spPr>
            <a:solidFill>
              <a:srgbClr val="D9B3C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'Power Pivot'!$Q$8:$Q$16</c:f>
              <c:strCache>
                <c:ptCount val="8"/>
                <c:pt idx="0">
                  <c:v>هومزمارت</c:v>
                </c:pt>
                <c:pt idx="1">
                  <c:v>شيك هومز </c:v>
                </c:pt>
                <c:pt idx="2">
                  <c:v>تاكى</c:v>
                </c:pt>
                <c:pt idx="3">
                  <c:v>اوسكار ريتن </c:v>
                </c:pt>
                <c:pt idx="4">
                  <c:v>السويس</c:v>
                </c:pt>
                <c:pt idx="5">
                  <c:v>فيس بوك</c:v>
                </c:pt>
                <c:pt idx="6">
                  <c:v>منزلى </c:v>
                </c:pt>
                <c:pt idx="7">
                  <c:v>كيمت </c:v>
                </c:pt>
              </c:strCache>
            </c:strRef>
          </c:cat>
          <c:val>
            <c:numRef>
              <c:f>'Power Pivot'!$R$8:$R$16</c:f>
              <c:numCache>
                <c:formatCode>_(* #,##0_);_(* \(#,##0\);_(* "-"??_);_(@_)</c:formatCode>
                <c:ptCount val="8"/>
                <c:pt idx="0">
                  <c:v>687987</c:v>
                </c:pt>
                <c:pt idx="1">
                  <c:v>175087</c:v>
                </c:pt>
                <c:pt idx="2">
                  <c:v>66900</c:v>
                </c:pt>
                <c:pt idx="3">
                  <c:v>60187</c:v>
                </c:pt>
                <c:pt idx="4">
                  <c:v>33144.905440000002</c:v>
                </c:pt>
                <c:pt idx="5">
                  <c:v>18000</c:v>
                </c:pt>
                <c:pt idx="6">
                  <c:v>9655</c:v>
                </c:pt>
                <c:pt idx="7">
                  <c:v>7396</c:v>
                </c:pt>
              </c:numCache>
            </c:numRef>
          </c:val>
          <c:extLst>
            <c:ext xmlns:c16="http://schemas.microsoft.com/office/drawing/2014/chart" uri="{C3380CC4-5D6E-409C-BE32-E72D297353CC}">
              <c16:uniqueId val="{00000000-238C-4180-8D52-31DF1B548011}"/>
            </c:ext>
          </c:extLst>
        </c:ser>
        <c:dLbls>
          <c:showLegendKey val="0"/>
          <c:showVal val="0"/>
          <c:showCatName val="0"/>
          <c:showSerName val="0"/>
          <c:showPercent val="0"/>
          <c:showBubbleSize val="0"/>
        </c:dLbls>
        <c:gapWidth val="150"/>
        <c:shape val="box"/>
        <c:axId val="899997088"/>
        <c:axId val="1241427152"/>
        <c:axId val="0"/>
      </c:bar3DChart>
      <c:catAx>
        <c:axId val="8999970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90000"/>
                  </a:schemeClr>
                </a:solidFill>
                <a:latin typeface="+mn-lt"/>
                <a:ea typeface="+mn-ea"/>
                <a:cs typeface="+mn-cs"/>
              </a:defRPr>
            </a:pPr>
            <a:endParaRPr lang="en-US"/>
          </a:p>
        </c:txPr>
        <c:crossAx val="1241427152"/>
        <c:crosses val="autoZero"/>
        <c:auto val="1"/>
        <c:lblAlgn val="ctr"/>
        <c:lblOffset val="100"/>
        <c:noMultiLvlLbl val="0"/>
      </c:catAx>
      <c:valAx>
        <c:axId val="1241427152"/>
        <c:scaling>
          <c:orientation val="minMax"/>
        </c:scaling>
        <c:delete val="0"/>
        <c:axPos val="l"/>
        <c:majorGridlines>
          <c:spPr>
            <a:ln w="9525" cap="flat" cmpd="sng" algn="ctr">
              <a:no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2">
                    <a:lumMod val="90000"/>
                  </a:schemeClr>
                </a:solidFill>
                <a:latin typeface="+mn-lt"/>
                <a:ea typeface="+mn-ea"/>
                <a:cs typeface="+mn-cs"/>
              </a:defRPr>
            </a:pPr>
            <a:endParaRPr lang="en-US"/>
          </a:p>
        </c:txPr>
        <c:crossAx val="899997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bg2">
              <a:lumMod val="9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[Misuo Dashboard.xlsx]Power Pivot!PivotTable10</c:name>
    <c:fmtId val="4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D9B3C0"/>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10004"/>
          </a:solidFill>
          <a:ln w="19050">
            <a:noFill/>
          </a:ln>
          <a:effectLst/>
        </c:spPr>
        <c:dLbl>
          <c:idx val="0"/>
          <c:layout>
            <c:manualLayout>
              <c:x val="0.13028413028413027"/>
              <c:y val="2.8268551236749019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bg2">
                        <a:lumMod val="90000"/>
                      </a:schemeClr>
                    </a:solidFill>
                    <a:latin typeface="+mn-lt"/>
                    <a:ea typeface="+mn-ea"/>
                    <a:cs typeface="+mn-cs"/>
                  </a:defRPr>
                </a:pPr>
                <a:fld id="{275BC2DD-EDF0-4AA4-AEC1-4ED52EBE2C54}" type="VALUE">
                  <a:rPr lang="en-US" sz="1400">
                    <a:solidFill>
                      <a:schemeClr val="bg2">
                        <a:lumMod val="90000"/>
                      </a:schemeClr>
                    </a:solidFill>
                  </a:rPr>
                  <a:pPr>
                    <a:defRPr>
                      <a:solidFill>
                        <a:schemeClr val="bg2">
                          <a:lumMod val="90000"/>
                        </a:schemeClr>
                      </a:solidFill>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2">
                      <a:lumMod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6264726264726255E-2"/>
                  <c:h val="0.15069512070708474"/>
                </c:manualLayout>
              </c15:layout>
              <c15:dlblFieldTable/>
              <c15:showDataLabelsRange val="0"/>
            </c:ext>
          </c:extLst>
        </c:dLbl>
      </c:pivotFmt>
      <c:pivotFmt>
        <c:idx val="6"/>
        <c:spPr>
          <a:solidFill>
            <a:srgbClr val="D9B3C0"/>
          </a:solidFill>
          <a:ln w="19050">
            <a:noFill/>
          </a:ln>
          <a:effectLst/>
        </c:spPr>
        <c:dLbl>
          <c:idx val="0"/>
          <c:layout>
            <c:manualLayout>
              <c:x val="-7.2072072072072071E-2"/>
              <c:y val="-6.5959952885747936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2">
                      <a:lumMod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792563611461245"/>
          <c:y val="0.1172462276137744"/>
          <c:w val="0.45718654434250766"/>
          <c:h val="0.76081424936386766"/>
        </c:manualLayout>
      </c:layout>
      <c:doughnutChart>
        <c:varyColors val="1"/>
        <c:ser>
          <c:idx val="0"/>
          <c:order val="0"/>
          <c:tx>
            <c:strRef>
              <c:f>'Power Pivot'!$BC$9</c:f>
              <c:strCache>
                <c:ptCount val="1"/>
                <c:pt idx="0">
                  <c:v>Total</c:v>
                </c:pt>
              </c:strCache>
            </c:strRef>
          </c:tx>
          <c:spPr>
            <a:solidFill>
              <a:srgbClr val="D9B3C0"/>
            </a:solidFill>
            <a:ln>
              <a:noFill/>
            </a:ln>
          </c:spPr>
          <c:dPt>
            <c:idx val="0"/>
            <c:bubble3D val="0"/>
            <c:spPr>
              <a:solidFill>
                <a:srgbClr val="810004"/>
              </a:solidFill>
              <a:ln w="19050">
                <a:noFill/>
              </a:ln>
              <a:effectLst/>
            </c:spPr>
            <c:extLst>
              <c:ext xmlns:c16="http://schemas.microsoft.com/office/drawing/2014/chart" uri="{C3380CC4-5D6E-409C-BE32-E72D297353CC}">
                <c16:uniqueId val="{00000001-738A-4009-86FC-36D0F00EFEE0}"/>
              </c:ext>
            </c:extLst>
          </c:dPt>
          <c:dPt>
            <c:idx val="1"/>
            <c:bubble3D val="0"/>
            <c:spPr>
              <a:solidFill>
                <a:srgbClr val="D9B3C0"/>
              </a:solidFill>
              <a:ln w="19050">
                <a:noFill/>
              </a:ln>
              <a:effectLst/>
            </c:spPr>
            <c:extLst>
              <c:ext xmlns:c16="http://schemas.microsoft.com/office/drawing/2014/chart" uri="{C3380CC4-5D6E-409C-BE32-E72D297353CC}">
                <c16:uniqueId val="{00000003-738A-4009-86FC-36D0F00EFEE0}"/>
              </c:ext>
            </c:extLst>
          </c:dPt>
          <c:dLbls>
            <c:dLbl>
              <c:idx val="0"/>
              <c:layout>
                <c:manualLayout>
                  <c:x val="0.13028413028413027"/>
                  <c:y val="2.8268551236749019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bg2">
                            <a:lumMod val="90000"/>
                          </a:schemeClr>
                        </a:solidFill>
                        <a:latin typeface="+mn-lt"/>
                        <a:ea typeface="+mn-ea"/>
                        <a:cs typeface="+mn-cs"/>
                      </a:defRPr>
                    </a:pPr>
                    <a:fld id="{275BC2DD-EDF0-4AA4-AEC1-4ED52EBE2C54}" type="VALUE">
                      <a:rPr lang="en-US" sz="1400">
                        <a:solidFill>
                          <a:schemeClr val="bg2">
                            <a:lumMod val="90000"/>
                          </a:schemeClr>
                        </a:solidFill>
                      </a:rPr>
                      <a:pPr>
                        <a:defRPr>
                          <a:solidFill>
                            <a:schemeClr val="bg2">
                              <a:lumMod val="90000"/>
                            </a:schemeClr>
                          </a:solidFill>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2">
                          <a:lumMod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8.6264726264726255E-2"/>
                      <c:h val="0.15069512070708474"/>
                    </c:manualLayout>
                  </c15:layout>
                  <c15:dlblFieldTable/>
                  <c15:showDataLabelsRange val="0"/>
                </c:ext>
                <c:ext xmlns:c16="http://schemas.microsoft.com/office/drawing/2014/chart" uri="{C3380CC4-5D6E-409C-BE32-E72D297353CC}">
                  <c16:uniqueId val="{00000001-738A-4009-86FC-36D0F00EFEE0}"/>
                </c:ext>
              </c:extLst>
            </c:dLbl>
            <c:dLbl>
              <c:idx val="1"/>
              <c:layout>
                <c:manualLayout>
                  <c:x val="-7.2072072072072071E-2"/>
                  <c:y val="-6.5959952885747936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2">
                          <a:lumMod val="9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38A-4009-86FC-36D0F00EFEE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2">
                        <a:lumMod val="90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'Power Pivot'!$BB$10:$BB$12</c:f>
              <c:strCache>
                <c:ptCount val="2"/>
                <c:pt idx="0">
                  <c:v>افراد</c:v>
                </c:pt>
                <c:pt idx="1">
                  <c:v>شركات</c:v>
                </c:pt>
              </c:strCache>
            </c:strRef>
          </c:cat>
          <c:val>
            <c:numRef>
              <c:f>'Power Pivot'!$BC$10:$BC$12</c:f>
              <c:numCache>
                <c:formatCode>General</c:formatCode>
                <c:ptCount val="2"/>
                <c:pt idx="0">
                  <c:v>88</c:v>
                </c:pt>
                <c:pt idx="1">
                  <c:v>38</c:v>
                </c:pt>
              </c:numCache>
            </c:numRef>
          </c:val>
          <c:extLst>
            <c:ext xmlns:c16="http://schemas.microsoft.com/office/drawing/2014/chart" uri="{C3380CC4-5D6E-409C-BE32-E72D297353CC}">
              <c16:uniqueId val="{00000004-738A-4009-86FC-36D0F00EFEE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83896999361566282"/>
          <c:y val="0.35924543001029469"/>
          <c:w val="0.14439798975232043"/>
          <c:h val="0.2202602413214249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2">
                  <a:lumMod val="9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jp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133350</xdr:colOff>
      <xdr:row>37</xdr:row>
      <xdr:rowOff>95250</xdr:rowOff>
    </xdr:to>
    <xdr:grpSp>
      <xdr:nvGrpSpPr>
        <xdr:cNvPr id="25" name="Group 24">
          <a:extLst>
            <a:ext uri="{FF2B5EF4-FFF2-40B4-BE49-F238E27FC236}">
              <a16:creationId xmlns:a16="http://schemas.microsoft.com/office/drawing/2014/main" id="{273820FA-2A03-49A6-D6F3-92A215BE43A6}"/>
            </a:ext>
          </a:extLst>
        </xdr:cNvPr>
        <xdr:cNvGrpSpPr/>
      </xdr:nvGrpSpPr>
      <xdr:grpSpPr>
        <a:xfrm>
          <a:off x="0" y="0"/>
          <a:ext cx="2588683" cy="7143750"/>
          <a:chOff x="0" y="0"/>
          <a:chExt cx="2571750" cy="7362825"/>
        </a:xfrm>
      </xdr:grpSpPr>
      <xdr:pic>
        <xdr:nvPicPr>
          <xdr:cNvPr id="4" name="Picture 3">
            <a:extLst>
              <a:ext uri="{FF2B5EF4-FFF2-40B4-BE49-F238E27FC236}">
                <a16:creationId xmlns:a16="http://schemas.microsoft.com/office/drawing/2014/main" id="{F227D7EE-895F-4970-B8C9-3E63FF852D1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2397" t="11301" r="3767" b="7534"/>
          <a:stretch/>
        </xdr:blipFill>
        <xdr:spPr>
          <a:xfrm>
            <a:off x="69197" y="0"/>
            <a:ext cx="2435128" cy="2133600"/>
          </a:xfrm>
          <a:prstGeom prst="rect">
            <a:avLst/>
          </a:prstGeom>
        </xdr:spPr>
      </xdr:pic>
      <xdr:grpSp>
        <xdr:nvGrpSpPr>
          <xdr:cNvPr id="22" name="Group 21">
            <a:extLst>
              <a:ext uri="{FF2B5EF4-FFF2-40B4-BE49-F238E27FC236}">
                <a16:creationId xmlns:a16="http://schemas.microsoft.com/office/drawing/2014/main" id="{6F99AB1B-5ABB-8903-A265-0679988E0E51}"/>
              </a:ext>
            </a:extLst>
          </xdr:cNvPr>
          <xdr:cNvGrpSpPr/>
        </xdr:nvGrpSpPr>
        <xdr:grpSpPr>
          <a:xfrm>
            <a:off x="0" y="2442318"/>
            <a:ext cx="2571750" cy="4920507"/>
            <a:chOff x="214312" y="2232768"/>
            <a:chExt cx="3476625" cy="4920507"/>
          </a:xfrm>
        </xdr:grpSpPr>
        <xdr:sp macro="" textlink="">
          <xdr:nvSpPr>
            <xdr:cNvPr id="6" name="Rectangle: Rounded Corners 5">
              <a:extLst>
                <a:ext uri="{FF2B5EF4-FFF2-40B4-BE49-F238E27FC236}">
                  <a16:creationId xmlns:a16="http://schemas.microsoft.com/office/drawing/2014/main" id="{737B5467-FC76-48F5-3FDC-C7C8DE6556B3}"/>
                </a:ext>
              </a:extLst>
            </xdr:cNvPr>
            <xdr:cNvSpPr/>
          </xdr:nvSpPr>
          <xdr:spPr>
            <a:xfrm>
              <a:off x="214312" y="2232768"/>
              <a:ext cx="3476625" cy="4920507"/>
            </a:xfrm>
            <a:prstGeom prst="roundRect">
              <a:avLst>
                <a:gd name="adj" fmla="val 0"/>
              </a:avLst>
            </a:prstGeom>
            <a:solidFill>
              <a:srgbClr val="1B2A49"/>
            </a:solidFill>
            <a:ln>
              <a:solidFill>
                <a:srgbClr val="1B2A49"/>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ysClr val="windowText" lastClr="000000"/>
                </a:solidFill>
              </a:endParaRPr>
            </a:p>
          </xdr:txBody>
        </xdr:sp>
        <mc:AlternateContent xmlns:mc="http://schemas.openxmlformats.org/markup-compatibility/2006" xmlns:a14="http://schemas.microsoft.com/office/drawing/2010/main">
          <mc:Choice Requires="a14">
            <xdr:graphicFrame macro="">
              <xdr:nvGraphicFramePr>
                <xdr:cNvPr id="19" name="منتج">
                  <a:extLst>
                    <a:ext uri="{FF2B5EF4-FFF2-40B4-BE49-F238E27FC236}">
                      <a16:creationId xmlns:a16="http://schemas.microsoft.com/office/drawing/2014/main" id="{A173E8E6-314C-442C-B331-6B81954211EB}"/>
                    </a:ext>
                  </a:extLst>
                </xdr:cNvPr>
                <xdr:cNvGraphicFramePr/>
              </xdr:nvGraphicFramePr>
              <xdr:xfrm>
                <a:off x="214312" y="3410356"/>
                <a:ext cx="3474723" cy="1133476"/>
              </xdr:xfrm>
              <a:graphic>
                <a:graphicData uri="http://schemas.microsoft.com/office/drawing/2010/slicer">
                  <sle:slicer xmlns:sle="http://schemas.microsoft.com/office/drawing/2010/slicer" name="منتج"/>
                </a:graphicData>
              </a:graphic>
            </xdr:graphicFrame>
          </mc:Choice>
          <mc:Fallback xmlns="">
            <xdr:sp macro="" textlink="">
              <xdr:nvSpPr>
                <xdr:cNvPr id="0" name=""/>
                <xdr:cNvSpPr>
                  <a:spLocks noTextEdit="1"/>
                </xdr:cNvSpPr>
              </xdr:nvSpPr>
              <xdr:spPr>
                <a:xfrm>
                  <a:off x="0" y="3512199"/>
                  <a:ext cx="2570343" cy="1099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0" name="منصة البيع ">
                  <a:extLst>
                    <a:ext uri="{FF2B5EF4-FFF2-40B4-BE49-F238E27FC236}">
                      <a16:creationId xmlns:a16="http://schemas.microsoft.com/office/drawing/2014/main" id="{25536199-EDA1-431E-AEAC-21113297D38E}"/>
                    </a:ext>
                  </a:extLst>
                </xdr:cNvPr>
                <xdr:cNvGraphicFramePr/>
              </xdr:nvGraphicFramePr>
              <xdr:xfrm>
                <a:off x="214312" y="4624501"/>
                <a:ext cx="3474720" cy="2000250"/>
              </xdr:xfrm>
              <a:graphic>
                <a:graphicData uri="http://schemas.microsoft.com/office/drawing/2010/slicer">
                  <sle:slicer xmlns:sle="http://schemas.microsoft.com/office/drawing/2010/slicer" name="منصة البيع "/>
                </a:graphicData>
              </a:graphic>
            </xdr:graphicFrame>
          </mc:Choice>
          <mc:Fallback xmlns="">
            <xdr:sp macro="" textlink="">
              <xdr:nvSpPr>
                <xdr:cNvPr id="0" name=""/>
                <xdr:cNvSpPr>
                  <a:spLocks noTextEdit="1"/>
                </xdr:cNvSpPr>
              </xdr:nvSpPr>
              <xdr:spPr>
                <a:xfrm>
                  <a:off x="0" y="4690218"/>
                  <a:ext cx="2570341" cy="19407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1" name="نوع العميل">
                  <a:extLst>
                    <a:ext uri="{FF2B5EF4-FFF2-40B4-BE49-F238E27FC236}">
                      <a16:creationId xmlns:a16="http://schemas.microsoft.com/office/drawing/2014/main" id="{E6C302D4-CC32-4B06-8BC1-A9AD2C3B7E9B}"/>
                    </a:ext>
                  </a:extLst>
                </xdr:cNvPr>
                <xdr:cNvGraphicFramePr/>
              </xdr:nvGraphicFramePr>
              <xdr:xfrm>
                <a:off x="214312" y="2520734"/>
                <a:ext cx="3474720" cy="704850"/>
              </xdr:xfrm>
              <a:graphic>
                <a:graphicData uri="http://schemas.microsoft.com/office/drawing/2010/slicer">
                  <sle:slicer xmlns:sle="http://schemas.microsoft.com/office/drawing/2010/slicer" name="نوع العميل"/>
                </a:graphicData>
              </a:graphic>
            </xdr:graphicFrame>
          </mc:Choice>
          <mc:Fallback xmlns="">
            <xdr:sp macro="" textlink="">
              <xdr:nvSpPr>
                <xdr:cNvPr id="0" name=""/>
                <xdr:cNvSpPr>
                  <a:spLocks noTextEdit="1"/>
                </xdr:cNvSpPr>
              </xdr:nvSpPr>
              <xdr:spPr>
                <a:xfrm>
                  <a:off x="0" y="2649047"/>
                  <a:ext cx="2570341" cy="68387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grpSp>
    <xdr:clientData/>
  </xdr:twoCellAnchor>
  <xdr:twoCellAnchor>
    <xdr:from>
      <xdr:col>4</xdr:col>
      <xdr:colOff>496358</xdr:colOff>
      <xdr:row>0</xdr:row>
      <xdr:rowOff>180975</xdr:rowOff>
    </xdr:from>
    <xdr:to>
      <xdr:col>10</xdr:col>
      <xdr:colOff>410633</xdr:colOff>
      <xdr:row>6</xdr:row>
      <xdr:rowOff>76200</xdr:rowOff>
    </xdr:to>
    <xdr:grpSp>
      <xdr:nvGrpSpPr>
        <xdr:cNvPr id="29" name="Group 28">
          <a:extLst>
            <a:ext uri="{FF2B5EF4-FFF2-40B4-BE49-F238E27FC236}">
              <a16:creationId xmlns:a16="http://schemas.microsoft.com/office/drawing/2014/main" id="{3C3AED1B-3A87-9A99-3100-D4383E541FB9}"/>
            </a:ext>
          </a:extLst>
        </xdr:cNvPr>
        <xdr:cNvGrpSpPr/>
      </xdr:nvGrpSpPr>
      <xdr:grpSpPr>
        <a:xfrm>
          <a:off x="2951691" y="180975"/>
          <a:ext cx="3597275" cy="1038225"/>
          <a:chOff x="3438525" y="152400"/>
          <a:chExt cx="3067050" cy="1038225"/>
        </a:xfrm>
      </xdr:grpSpPr>
      <xdr:sp macro="" textlink="">
        <xdr:nvSpPr>
          <xdr:cNvPr id="7" name="Rectangle: Rounded Corners 6">
            <a:extLst>
              <a:ext uri="{FF2B5EF4-FFF2-40B4-BE49-F238E27FC236}">
                <a16:creationId xmlns:a16="http://schemas.microsoft.com/office/drawing/2014/main" id="{8146E504-01E1-7198-BB08-BB1E4258DA71}"/>
              </a:ext>
            </a:extLst>
          </xdr:cNvPr>
          <xdr:cNvSpPr/>
        </xdr:nvSpPr>
        <xdr:spPr>
          <a:xfrm>
            <a:off x="3438525" y="152400"/>
            <a:ext cx="3067050" cy="1038225"/>
          </a:xfrm>
          <a:prstGeom prst="roundRect">
            <a:avLst/>
          </a:prstGeom>
          <a:solidFill>
            <a:srgbClr val="D9B3C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solidFill>
                  <a:srgbClr val="810004"/>
                </a:solidFill>
              </a:rPr>
              <a:t>Total Sales</a:t>
            </a:r>
          </a:p>
        </xdr:txBody>
      </xdr:sp>
      <xdr:sp macro="" textlink="">
        <xdr:nvSpPr>
          <xdr:cNvPr id="24" name="TextBox 23">
            <a:extLst>
              <a:ext uri="{FF2B5EF4-FFF2-40B4-BE49-F238E27FC236}">
                <a16:creationId xmlns:a16="http://schemas.microsoft.com/office/drawing/2014/main" id="{414E00CA-9415-5291-6162-1C8A4D32A064}"/>
              </a:ext>
            </a:extLst>
          </xdr:cNvPr>
          <xdr:cNvSpPr txBox="1"/>
        </xdr:nvSpPr>
        <xdr:spPr>
          <a:xfrm flipH="1">
            <a:off x="3933826" y="603125"/>
            <a:ext cx="2076448" cy="468013"/>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2400" b="0" i="0" u="none" strike="noStrike">
                <a:solidFill>
                  <a:srgbClr val="232E4C"/>
                </a:solidFill>
                <a:effectLst/>
                <a:latin typeface="+mn-lt"/>
                <a:ea typeface="+mn-ea"/>
                <a:cs typeface="+mn-cs"/>
              </a:rPr>
              <a:t> 1,058,357 </a:t>
            </a:r>
            <a:endParaRPr lang="en-US" sz="2400">
              <a:solidFill>
                <a:srgbClr val="232E4C"/>
              </a:solidFill>
            </a:endParaRPr>
          </a:p>
        </xdr:txBody>
      </xdr:sp>
    </xdr:grpSp>
    <xdr:clientData/>
  </xdr:twoCellAnchor>
  <xdr:twoCellAnchor>
    <xdr:from>
      <xdr:col>11</xdr:col>
      <xdr:colOff>35965</xdr:colOff>
      <xdr:row>0</xdr:row>
      <xdr:rowOff>180975</xdr:rowOff>
    </xdr:from>
    <xdr:to>
      <xdr:col>16</xdr:col>
      <xdr:colOff>559840</xdr:colOff>
      <xdr:row>6</xdr:row>
      <xdr:rowOff>76200</xdr:rowOff>
    </xdr:to>
    <xdr:grpSp>
      <xdr:nvGrpSpPr>
        <xdr:cNvPr id="30" name="Group 29">
          <a:extLst>
            <a:ext uri="{FF2B5EF4-FFF2-40B4-BE49-F238E27FC236}">
              <a16:creationId xmlns:a16="http://schemas.microsoft.com/office/drawing/2014/main" id="{B68ED25D-5175-4552-8845-BB5A4C70EA18}"/>
            </a:ext>
          </a:extLst>
        </xdr:cNvPr>
        <xdr:cNvGrpSpPr/>
      </xdr:nvGrpSpPr>
      <xdr:grpSpPr>
        <a:xfrm>
          <a:off x="6788132" y="180975"/>
          <a:ext cx="3593041" cy="1038225"/>
          <a:chOff x="3438525" y="152400"/>
          <a:chExt cx="3067050" cy="1038225"/>
        </a:xfrm>
      </xdr:grpSpPr>
      <xdr:sp macro="" textlink="">
        <xdr:nvSpPr>
          <xdr:cNvPr id="31" name="Rectangle: Rounded Corners 30">
            <a:extLst>
              <a:ext uri="{FF2B5EF4-FFF2-40B4-BE49-F238E27FC236}">
                <a16:creationId xmlns:a16="http://schemas.microsoft.com/office/drawing/2014/main" id="{CFAD0D54-C582-4666-EF01-5C80DE732CC3}"/>
              </a:ext>
            </a:extLst>
          </xdr:cNvPr>
          <xdr:cNvSpPr/>
        </xdr:nvSpPr>
        <xdr:spPr>
          <a:xfrm>
            <a:off x="3438525" y="152400"/>
            <a:ext cx="3067050" cy="1038225"/>
          </a:xfrm>
          <a:prstGeom prst="roundRect">
            <a:avLst/>
          </a:prstGeom>
          <a:solidFill>
            <a:srgbClr val="D9B3C0"/>
          </a:solidFill>
          <a:ln>
            <a:solidFill>
              <a:srgbClr val="D9B3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solidFill>
                  <a:srgbClr val="810004"/>
                </a:solidFill>
              </a:rPr>
              <a:t>Total Orders</a:t>
            </a:r>
          </a:p>
        </xdr:txBody>
      </xdr:sp>
      <xdr:sp macro="" textlink="">
        <xdr:nvSpPr>
          <xdr:cNvPr id="32" name="TextBox 31">
            <a:extLst>
              <a:ext uri="{FF2B5EF4-FFF2-40B4-BE49-F238E27FC236}">
                <a16:creationId xmlns:a16="http://schemas.microsoft.com/office/drawing/2014/main" id="{B108C9B9-47C4-AB08-502F-930F14757D11}"/>
              </a:ext>
            </a:extLst>
          </xdr:cNvPr>
          <xdr:cNvSpPr txBox="1"/>
        </xdr:nvSpPr>
        <xdr:spPr>
          <a:xfrm flipH="1">
            <a:off x="3933826" y="647699"/>
            <a:ext cx="2076448"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2400" b="0" i="0" u="none" strike="noStrike">
                <a:solidFill>
                  <a:srgbClr val="232E4C"/>
                </a:solidFill>
                <a:effectLst/>
                <a:latin typeface="+mn-lt"/>
                <a:ea typeface="+mn-ea"/>
                <a:cs typeface="+mn-cs"/>
              </a:rPr>
              <a:t>106</a:t>
            </a:r>
            <a:endParaRPr lang="en-US" sz="2400">
              <a:solidFill>
                <a:srgbClr val="232E4C"/>
              </a:solidFill>
            </a:endParaRPr>
          </a:p>
        </xdr:txBody>
      </xdr:sp>
    </xdr:grpSp>
    <xdr:clientData/>
  </xdr:twoCellAnchor>
  <xdr:twoCellAnchor>
    <xdr:from>
      <xdr:col>17</xdr:col>
      <xdr:colOff>185172</xdr:colOff>
      <xdr:row>0</xdr:row>
      <xdr:rowOff>180975</xdr:rowOff>
    </xdr:from>
    <xdr:to>
      <xdr:col>23</xdr:col>
      <xdr:colOff>99447</xdr:colOff>
      <xdr:row>6</xdr:row>
      <xdr:rowOff>76200</xdr:rowOff>
    </xdr:to>
    <xdr:grpSp>
      <xdr:nvGrpSpPr>
        <xdr:cNvPr id="33" name="Group 32">
          <a:extLst>
            <a:ext uri="{FF2B5EF4-FFF2-40B4-BE49-F238E27FC236}">
              <a16:creationId xmlns:a16="http://schemas.microsoft.com/office/drawing/2014/main" id="{F53C51DA-8619-41DB-9836-D8C4288F1313}"/>
            </a:ext>
          </a:extLst>
        </xdr:cNvPr>
        <xdr:cNvGrpSpPr/>
      </xdr:nvGrpSpPr>
      <xdr:grpSpPr>
        <a:xfrm>
          <a:off x="10620339" y="180975"/>
          <a:ext cx="3597275" cy="1038225"/>
          <a:chOff x="3438525" y="152400"/>
          <a:chExt cx="3067050" cy="1038225"/>
        </a:xfrm>
      </xdr:grpSpPr>
      <xdr:sp macro="" textlink="">
        <xdr:nvSpPr>
          <xdr:cNvPr id="34" name="Rectangle: Rounded Corners 33">
            <a:extLst>
              <a:ext uri="{FF2B5EF4-FFF2-40B4-BE49-F238E27FC236}">
                <a16:creationId xmlns:a16="http://schemas.microsoft.com/office/drawing/2014/main" id="{A7AEB4F3-C0EB-849F-6075-0EBCFB486F1A}"/>
              </a:ext>
            </a:extLst>
          </xdr:cNvPr>
          <xdr:cNvSpPr/>
        </xdr:nvSpPr>
        <xdr:spPr>
          <a:xfrm>
            <a:off x="3438525" y="152400"/>
            <a:ext cx="3067050" cy="1038225"/>
          </a:xfrm>
          <a:prstGeom prst="roundRect">
            <a:avLst/>
          </a:prstGeom>
          <a:solidFill>
            <a:srgbClr val="D9B3C0"/>
          </a:solidFill>
          <a:ln>
            <a:solidFill>
              <a:srgbClr val="D9B3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solidFill>
                  <a:srgbClr val="810004"/>
                </a:solidFill>
              </a:rPr>
              <a:t>Delivery Status Breakdown</a:t>
            </a:r>
          </a:p>
        </xdr:txBody>
      </xdr:sp>
      <xdr:sp macro="" textlink="">
        <xdr:nvSpPr>
          <xdr:cNvPr id="35" name="TextBox 34">
            <a:extLst>
              <a:ext uri="{FF2B5EF4-FFF2-40B4-BE49-F238E27FC236}">
                <a16:creationId xmlns:a16="http://schemas.microsoft.com/office/drawing/2014/main" id="{1DB22638-C8FB-9B77-7122-90861198D556}"/>
              </a:ext>
            </a:extLst>
          </xdr:cNvPr>
          <xdr:cNvSpPr txBox="1"/>
        </xdr:nvSpPr>
        <xdr:spPr>
          <a:xfrm flipH="1">
            <a:off x="3933826" y="638174"/>
            <a:ext cx="2076448"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2400" b="0" i="0" u="none" strike="noStrike">
                <a:solidFill>
                  <a:srgbClr val="232E4C"/>
                </a:solidFill>
                <a:effectLst/>
                <a:latin typeface="+mn-lt"/>
                <a:ea typeface="+mn-ea"/>
                <a:cs typeface="+mn-cs"/>
              </a:rPr>
              <a:t>15.08%</a:t>
            </a:r>
            <a:endParaRPr lang="en-US" sz="2400">
              <a:solidFill>
                <a:srgbClr val="232E4C"/>
              </a:solidFill>
            </a:endParaRPr>
          </a:p>
        </xdr:txBody>
      </xdr:sp>
    </xdr:grpSp>
    <xdr:clientData/>
  </xdr:twoCellAnchor>
  <xdr:twoCellAnchor>
    <xdr:from>
      <xdr:col>4</xdr:col>
      <xdr:colOff>496358</xdr:colOff>
      <xdr:row>7</xdr:row>
      <xdr:rowOff>66675</xdr:rowOff>
    </xdr:from>
    <xdr:to>
      <xdr:col>12</xdr:col>
      <xdr:colOff>375708</xdr:colOff>
      <xdr:row>41</xdr:row>
      <xdr:rowOff>28575</xdr:rowOff>
    </xdr:to>
    <xdr:grpSp>
      <xdr:nvGrpSpPr>
        <xdr:cNvPr id="52" name="Group 51">
          <a:extLst>
            <a:ext uri="{FF2B5EF4-FFF2-40B4-BE49-F238E27FC236}">
              <a16:creationId xmlns:a16="http://schemas.microsoft.com/office/drawing/2014/main" id="{AF5CFA25-BD08-A1D3-D90E-D29BF33C7D1D}"/>
            </a:ext>
          </a:extLst>
        </xdr:cNvPr>
        <xdr:cNvGrpSpPr/>
      </xdr:nvGrpSpPr>
      <xdr:grpSpPr>
        <a:xfrm>
          <a:off x="2951691" y="1400175"/>
          <a:ext cx="4790017" cy="6438900"/>
          <a:chOff x="2934758" y="1465161"/>
          <a:chExt cx="4756150" cy="6421539"/>
        </a:xfrm>
      </xdr:grpSpPr>
      <xdr:sp macro="" textlink="">
        <xdr:nvSpPr>
          <xdr:cNvPr id="14" name="Rectangle: Rounded Corners 13">
            <a:extLst>
              <a:ext uri="{FF2B5EF4-FFF2-40B4-BE49-F238E27FC236}">
                <a16:creationId xmlns:a16="http://schemas.microsoft.com/office/drawing/2014/main" id="{762B58E2-4B67-4061-8F20-646F96F46D30}"/>
              </a:ext>
            </a:extLst>
          </xdr:cNvPr>
          <xdr:cNvSpPr/>
        </xdr:nvSpPr>
        <xdr:spPr>
          <a:xfrm>
            <a:off x="2934758" y="1465161"/>
            <a:ext cx="4756150" cy="6400800"/>
          </a:xfrm>
          <a:prstGeom prst="roundRect">
            <a:avLst/>
          </a:prstGeom>
          <a:solidFill>
            <a:srgbClr val="232E4C"/>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a:solidFill>
                  <a:schemeClr val="bg2">
                    <a:lumMod val="90000"/>
                  </a:schemeClr>
                </a:solidFill>
              </a:rPr>
              <a:t>Average Selling Price</a:t>
            </a:r>
          </a:p>
        </xdr:txBody>
      </xdr:sp>
      <xdr:graphicFrame macro="">
        <xdr:nvGraphicFramePr>
          <xdr:cNvPr id="37" name="Chart 36">
            <a:extLst>
              <a:ext uri="{FF2B5EF4-FFF2-40B4-BE49-F238E27FC236}">
                <a16:creationId xmlns:a16="http://schemas.microsoft.com/office/drawing/2014/main" id="{FFAE484A-E92E-4E4A-A638-A85CE5597E4F}"/>
              </a:ext>
            </a:extLst>
          </xdr:cNvPr>
          <xdr:cNvGraphicFramePr>
            <a:graphicFrameLocks/>
          </xdr:cNvGraphicFramePr>
        </xdr:nvGraphicFramePr>
        <xdr:xfrm>
          <a:off x="2990850" y="1838325"/>
          <a:ext cx="4572000" cy="2743200"/>
        </xdr:xfrm>
        <a:graphic>
          <a:graphicData uri="http://schemas.openxmlformats.org/drawingml/2006/chart">
            <c:chart xmlns:c="http://schemas.openxmlformats.org/drawingml/2006/chart" xmlns:r="http://schemas.openxmlformats.org/officeDocument/2006/relationships" r:id="rId2"/>
          </a:graphicData>
        </a:graphic>
      </xdr:graphicFrame>
      <xdr:cxnSp macro="">
        <xdr:nvCxnSpPr>
          <xdr:cNvPr id="43" name="Straight Connector 42">
            <a:extLst>
              <a:ext uri="{FF2B5EF4-FFF2-40B4-BE49-F238E27FC236}">
                <a16:creationId xmlns:a16="http://schemas.microsoft.com/office/drawing/2014/main" id="{75C8A406-1FE9-B283-FE34-366092E18801}"/>
              </a:ext>
            </a:extLst>
          </xdr:cNvPr>
          <xdr:cNvCxnSpPr/>
        </xdr:nvCxnSpPr>
        <xdr:spPr>
          <a:xfrm>
            <a:off x="2934758" y="4665561"/>
            <a:ext cx="4756150" cy="0"/>
          </a:xfrm>
          <a:prstGeom prst="line">
            <a:avLst/>
          </a:prstGeom>
          <a:ln>
            <a:solidFill>
              <a:srgbClr val="D9B3C0"/>
            </a:solidFill>
          </a:ln>
        </xdr:spPr>
        <xdr:style>
          <a:lnRef idx="1">
            <a:schemeClr val="accent1"/>
          </a:lnRef>
          <a:fillRef idx="0">
            <a:schemeClr val="accent1"/>
          </a:fillRef>
          <a:effectRef idx="0">
            <a:schemeClr val="accent1"/>
          </a:effectRef>
          <a:fontRef idx="minor">
            <a:schemeClr val="tx1"/>
          </a:fontRef>
        </xdr:style>
      </xdr:cxnSp>
      <xdr:graphicFrame macro="">
        <xdr:nvGraphicFramePr>
          <xdr:cNvPr id="49" name="Chart 48">
            <a:extLst>
              <a:ext uri="{FF2B5EF4-FFF2-40B4-BE49-F238E27FC236}">
                <a16:creationId xmlns:a16="http://schemas.microsoft.com/office/drawing/2014/main" id="{81B01493-B4BC-4433-B3CA-8AEB9B6EEC48}"/>
              </a:ext>
            </a:extLst>
          </xdr:cNvPr>
          <xdr:cNvGraphicFramePr>
            <a:graphicFrameLocks/>
          </xdr:cNvGraphicFramePr>
        </xdr:nvGraphicFramePr>
        <xdr:xfrm>
          <a:off x="3009899" y="5143500"/>
          <a:ext cx="4581525" cy="2743200"/>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50" name="TextBox 49">
            <a:extLst>
              <a:ext uri="{FF2B5EF4-FFF2-40B4-BE49-F238E27FC236}">
                <a16:creationId xmlns:a16="http://schemas.microsoft.com/office/drawing/2014/main" id="{930FB505-A561-75FF-2150-45A80235A38B}"/>
              </a:ext>
            </a:extLst>
          </xdr:cNvPr>
          <xdr:cNvSpPr txBox="1"/>
        </xdr:nvSpPr>
        <xdr:spPr>
          <a:xfrm>
            <a:off x="4060296" y="4762500"/>
            <a:ext cx="250507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solidFill>
                  <a:schemeClr val="bg2">
                    <a:lumMod val="90000"/>
                  </a:schemeClr>
                </a:solidFill>
              </a:rPr>
              <a:t>Best Color Sold</a:t>
            </a:r>
          </a:p>
        </xdr:txBody>
      </xdr:sp>
    </xdr:grpSp>
    <xdr:clientData/>
  </xdr:twoCellAnchor>
  <xdr:twoCellAnchor>
    <xdr:from>
      <xdr:col>23</xdr:col>
      <xdr:colOff>334378</xdr:colOff>
      <xdr:row>0</xdr:row>
      <xdr:rowOff>180975</xdr:rowOff>
    </xdr:from>
    <xdr:to>
      <xdr:col>29</xdr:col>
      <xdr:colOff>248653</xdr:colOff>
      <xdr:row>6</xdr:row>
      <xdr:rowOff>76200</xdr:rowOff>
    </xdr:to>
    <xdr:grpSp>
      <xdr:nvGrpSpPr>
        <xdr:cNvPr id="13" name="Group 12">
          <a:extLst>
            <a:ext uri="{FF2B5EF4-FFF2-40B4-BE49-F238E27FC236}">
              <a16:creationId xmlns:a16="http://schemas.microsoft.com/office/drawing/2014/main" id="{E66B001A-1468-4B93-8DF8-CA1FF31C045D}"/>
            </a:ext>
          </a:extLst>
        </xdr:cNvPr>
        <xdr:cNvGrpSpPr/>
      </xdr:nvGrpSpPr>
      <xdr:grpSpPr>
        <a:xfrm>
          <a:off x="14452545" y="180975"/>
          <a:ext cx="3597275" cy="1038225"/>
          <a:chOff x="3438525" y="152400"/>
          <a:chExt cx="3067050" cy="1038225"/>
        </a:xfrm>
      </xdr:grpSpPr>
      <xdr:sp macro="" textlink="">
        <xdr:nvSpPr>
          <xdr:cNvPr id="15" name="Rectangle: Rounded Corners 14">
            <a:extLst>
              <a:ext uri="{FF2B5EF4-FFF2-40B4-BE49-F238E27FC236}">
                <a16:creationId xmlns:a16="http://schemas.microsoft.com/office/drawing/2014/main" id="{FD5AB783-D9CB-B2FB-5F36-C478667E8EAA}"/>
              </a:ext>
            </a:extLst>
          </xdr:cNvPr>
          <xdr:cNvSpPr/>
        </xdr:nvSpPr>
        <xdr:spPr>
          <a:xfrm>
            <a:off x="3438525" y="152400"/>
            <a:ext cx="3067050" cy="1038225"/>
          </a:xfrm>
          <a:prstGeom prst="roundRect">
            <a:avLst/>
          </a:prstGeom>
          <a:solidFill>
            <a:srgbClr val="D9B3C0"/>
          </a:solidFill>
          <a:ln>
            <a:solidFill>
              <a:srgbClr val="D9B3C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solidFill>
                  <a:srgbClr val="810004"/>
                </a:solidFill>
              </a:rPr>
              <a:t>On-Time Delivery Rate</a:t>
            </a:r>
          </a:p>
        </xdr:txBody>
      </xdr:sp>
      <xdr:sp macro="" textlink="">
        <xdr:nvSpPr>
          <xdr:cNvPr id="16" name="TextBox 15">
            <a:extLst>
              <a:ext uri="{FF2B5EF4-FFF2-40B4-BE49-F238E27FC236}">
                <a16:creationId xmlns:a16="http://schemas.microsoft.com/office/drawing/2014/main" id="{5D376DB6-A13B-D393-123B-134119757909}"/>
              </a:ext>
            </a:extLst>
          </xdr:cNvPr>
          <xdr:cNvSpPr txBox="1"/>
        </xdr:nvSpPr>
        <xdr:spPr>
          <a:xfrm flipH="1">
            <a:off x="3933826" y="639640"/>
            <a:ext cx="2076448"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2400" b="0" i="0" u="none" strike="noStrike">
                <a:solidFill>
                  <a:srgbClr val="232E4C"/>
                </a:solidFill>
                <a:effectLst/>
                <a:latin typeface="+mn-lt"/>
                <a:ea typeface="+mn-ea"/>
                <a:cs typeface="+mn-cs"/>
              </a:rPr>
              <a:t>41.51%</a:t>
            </a:r>
            <a:endParaRPr lang="en-US" sz="2400">
              <a:solidFill>
                <a:srgbClr val="232E4C"/>
              </a:solidFill>
            </a:endParaRPr>
          </a:p>
        </xdr:txBody>
      </xdr:sp>
    </xdr:grpSp>
    <xdr:clientData/>
  </xdr:twoCellAnchor>
  <xdr:twoCellAnchor>
    <xdr:from>
      <xdr:col>13</xdr:col>
      <xdr:colOff>129301</xdr:colOff>
      <xdr:row>7</xdr:row>
      <xdr:rowOff>66675</xdr:rowOff>
    </xdr:from>
    <xdr:to>
      <xdr:col>21</xdr:col>
      <xdr:colOff>3148</xdr:colOff>
      <xdr:row>41</xdr:row>
      <xdr:rowOff>28575</xdr:rowOff>
    </xdr:to>
    <xdr:grpSp>
      <xdr:nvGrpSpPr>
        <xdr:cNvPr id="26" name="Group 25">
          <a:extLst>
            <a:ext uri="{FF2B5EF4-FFF2-40B4-BE49-F238E27FC236}">
              <a16:creationId xmlns:a16="http://schemas.microsoft.com/office/drawing/2014/main" id="{C0B78BDF-9B8F-C36D-AD1D-6BF7DE1FAC99}"/>
            </a:ext>
          </a:extLst>
        </xdr:cNvPr>
        <xdr:cNvGrpSpPr/>
      </xdr:nvGrpSpPr>
      <xdr:grpSpPr>
        <a:xfrm>
          <a:off x="8109134" y="1400175"/>
          <a:ext cx="4784514" cy="6438900"/>
          <a:chOff x="13172173" y="1371600"/>
          <a:chExt cx="4754880" cy="6438900"/>
        </a:xfrm>
      </xdr:grpSpPr>
      <xdr:sp macro="" textlink="">
        <xdr:nvSpPr>
          <xdr:cNvPr id="5" name="Rectangle: Rounded Corners 4">
            <a:extLst>
              <a:ext uri="{FF2B5EF4-FFF2-40B4-BE49-F238E27FC236}">
                <a16:creationId xmlns:a16="http://schemas.microsoft.com/office/drawing/2014/main" id="{0A499B1F-5B7A-EFBD-A44F-07BC6745C224}"/>
              </a:ext>
            </a:extLst>
          </xdr:cNvPr>
          <xdr:cNvSpPr/>
        </xdr:nvSpPr>
        <xdr:spPr>
          <a:xfrm>
            <a:off x="13172173" y="1371600"/>
            <a:ext cx="4743678" cy="6438900"/>
          </a:xfrm>
          <a:prstGeom prst="roundRect">
            <a:avLst>
              <a:gd name="adj" fmla="val 12867"/>
            </a:avLst>
          </a:prstGeom>
          <a:solidFill>
            <a:srgbClr val="232E4C"/>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400">
                <a:solidFill>
                  <a:schemeClr val="bg2">
                    <a:lumMod val="90000"/>
                  </a:schemeClr>
                </a:solidFill>
                <a:effectLst/>
                <a:latin typeface="+mn-lt"/>
                <a:ea typeface="+mn-ea"/>
                <a:cs typeface="+mn-cs"/>
              </a:rPr>
              <a:t>Best Seller</a:t>
            </a:r>
            <a:endParaRPr lang="en-US" sz="2400">
              <a:solidFill>
                <a:schemeClr val="bg2">
                  <a:lumMod val="90000"/>
                </a:schemeClr>
              </a:solidFill>
              <a:effectLst/>
            </a:endParaRPr>
          </a:p>
          <a:p>
            <a:pPr marL="0" indent="0" algn="l"/>
            <a:endParaRPr lang="en-US" sz="1100">
              <a:solidFill>
                <a:sysClr val="windowText" lastClr="000000"/>
              </a:solidFill>
              <a:latin typeface="+mn-lt"/>
              <a:ea typeface="+mn-ea"/>
              <a:cs typeface="+mn-cs"/>
            </a:endParaRPr>
          </a:p>
        </xdr:txBody>
      </xdr:sp>
      <xdr:sp macro="" textlink="">
        <xdr:nvSpPr>
          <xdr:cNvPr id="40" name="TextBox 39">
            <a:extLst>
              <a:ext uri="{FF2B5EF4-FFF2-40B4-BE49-F238E27FC236}">
                <a16:creationId xmlns:a16="http://schemas.microsoft.com/office/drawing/2014/main" id="{8E9F6151-16B5-3B75-FBBE-D951608B541B}"/>
              </a:ext>
            </a:extLst>
          </xdr:cNvPr>
          <xdr:cNvSpPr txBox="1"/>
        </xdr:nvSpPr>
        <xdr:spPr>
          <a:xfrm>
            <a:off x="13593056" y="4724562"/>
            <a:ext cx="3920964" cy="4334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solidFill>
                  <a:schemeClr val="bg2">
                    <a:lumMod val="90000"/>
                  </a:schemeClr>
                </a:solidFill>
              </a:rPr>
              <a:t>Customer</a:t>
            </a:r>
            <a:r>
              <a:rPr lang="en-US" sz="2400" baseline="0">
                <a:solidFill>
                  <a:schemeClr val="bg2">
                    <a:lumMod val="90000"/>
                  </a:schemeClr>
                </a:solidFill>
              </a:rPr>
              <a:t> Type</a:t>
            </a:r>
            <a:endParaRPr lang="en-US" sz="2400">
              <a:solidFill>
                <a:schemeClr val="bg2">
                  <a:lumMod val="90000"/>
                </a:schemeClr>
              </a:solidFill>
            </a:endParaRPr>
          </a:p>
        </xdr:txBody>
      </xdr:sp>
      <xdr:graphicFrame macro="">
        <xdr:nvGraphicFramePr>
          <xdr:cNvPr id="41" name="Chart 40">
            <a:extLst>
              <a:ext uri="{FF2B5EF4-FFF2-40B4-BE49-F238E27FC236}">
                <a16:creationId xmlns:a16="http://schemas.microsoft.com/office/drawing/2014/main" id="{845FB659-6D04-4EB4-B20B-B643C1F2454E}"/>
              </a:ext>
            </a:extLst>
          </xdr:cNvPr>
          <xdr:cNvGraphicFramePr>
            <a:graphicFrameLocks/>
          </xdr:cNvGraphicFramePr>
        </xdr:nvGraphicFramePr>
        <xdr:xfrm>
          <a:off x="13185538" y="2082389"/>
          <a:ext cx="4716949" cy="2582652"/>
        </xdr:xfrm>
        <a:graphic>
          <a:graphicData uri="http://schemas.openxmlformats.org/drawingml/2006/chart">
            <c:chart xmlns:c="http://schemas.openxmlformats.org/drawingml/2006/chart" xmlns:r="http://schemas.openxmlformats.org/officeDocument/2006/relationships" r:id="rId4"/>
          </a:graphicData>
        </a:graphic>
      </xdr:graphicFrame>
      <xdr:cxnSp macro="">
        <xdr:nvCxnSpPr>
          <xdr:cNvPr id="45" name="Straight Connector 44">
            <a:extLst>
              <a:ext uri="{FF2B5EF4-FFF2-40B4-BE49-F238E27FC236}">
                <a16:creationId xmlns:a16="http://schemas.microsoft.com/office/drawing/2014/main" id="{5127A0A7-0192-4AB7-B286-1B82576286E4}"/>
              </a:ext>
            </a:extLst>
          </xdr:cNvPr>
          <xdr:cNvCxnSpPr/>
        </xdr:nvCxnSpPr>
        <xdr:spPr>
          <a:xfrm>
            <a:off x="13180624" y="4591051"/>
            <a:ext cx="4746429" cy="0"/>
          </a:xfrm>
          <a:prstGeom prst="line">
            <a:avLst/>
          </a:prstGeom>
          <a:ln>
            <a:solidFill>
              <a:srgbClr val="D9B3C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21</xdr:col>
      <xdr:colOff>370573</xdr:colOff>
      <xdr:row>7</xdr:row>
      <xdr:rowOff>66675</xdr:rowOff>
    </xdr:from>
    <xdr:to>
      <xdr:col>29</xdr:col>
      <xdr:colOff>248653</xdr:colOff>
      <xdr:row>41</xdr:row>
      <xdr:rowOff>28575</xdr:rowOff>
    </xdr:to>
    <xdr:grpSp>
      <xdr:nvGrpSpPr>
        <xdr:cNvPr id="28" name="Group 27">
          <a:extLst>
            <a:ext uri="{FF2B5EF4-FFF2-40B4-BE49-F238E27FC236}">
              <a16:creationId xmlns:a16="http://schemas.microsoft.com/office/drawing/2014/main" id="{8A47B2FC-AEB3-1D26-6D3A-D6880DA25FF5}"/>
            </a:ext>
          </a:extLst>
        </xdr:cNvPr>
        <xdr:cNvGrpSpPr/>
      </xdr:nvGrpSpPr>
      <xdr:grpSpPr>
        <a:xfrm>
          <a:off x="13261073" y="1400175"/>
          <a:ext cx="4788747" cy="6438900"/>
          <a:chOff x="8054101" y="1371600"/>
          <a:chExt cx="4754880" cy="6438900"/>
        </a:xfrm>
      </xdr:grpSpPr>
      <xdr:grpSp>
        <xdr:nvGrpSpPr>
          <xdr:cNvPr id="10" name="Group 9">
            <a:extLst>
              <a:ext uri="{FF2B5EF4-FFF2-40B4-BE49-F238E27FC236}">
                <a16:creationId xmlns:a16="http://schemas.microsoft.com/office/drawing/2014/main" id="{68E0EA2C-3076-D3AD-AD23-23CA9B837380}"/>
              </a:ext>
            </a:extLst>
          </xdr:cNvPr>
          <xdr:cNvGrpSpPr/>
        </xdr:nvGrpSpPr>
        <xdr:grpSpPr>
          <a:xfrm>
            <a:off x="8054101" y="1371600"/>
            <a:ext cx="4754880" cy="6438900"/>
            <a:chOff x="8049683" y="1465161"/>
            <a:chExt cx="4760383" cy="6400800"/>
          </a:xfrm>
        </xdr:grpSpPr>
        <xdr:sp macro="" textlink="">
          <xdr:nvSpPr>
            <xdr:cNvPr id="36" name="Rectangle: Rounded Corners 35">
              <a:extLst>
                <a:ext uri="{FF2B5EF4-FFF2-40B4-BE49-F238E27FC236}">
                  <a16:creationId xmlns:a16="http://schemas.microsoft.com/office/drawing/2014/main" id="{F4D3F3CF-FB20-4E6A-B5EF-1A0A674EE2D2}"/>
                </a:ext>
              </a:extLst>
            </xdr:cNvPr>
            <xdr:cNvSpPr/>
          </xdr:nvSpPr>
          <xdr:spPr>
            <a:xfrm>
              <a:off x="8053916" y="1465161"/>
              <a:ext cx="4756150" cy="6400800"/>
            </a:xfrm>
            <a:prstGeom prst="roundRect">
              <a:avLst/>
            </a:prstGeom>
            <a:solidFill>
              <a:srgbClr val="232E4C"/>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a:solidFill>
                    <a:schemeClr val="bg2">
                      <a:lumMod val="90000"/>
                    </a:schemeClr>
                  </a:solidFill>
                </a:rPr>
                <a:t>Sales</a:t>
              </a:r>
              <a:r>
                <a:rPr lang="en-US" sz="2400" baseline="0">
                  <a:solidFill>
                    <a:schemeClr val="bg2">
                      <a:lumMod val="90000"/>
                    </a:schemeClr>
                  </a:solidFill>
                </a:rPr>
                <a:t> By Plateform</a:t>
              </a:r>
              <a:endParaRPr lang="en-US" sz="2400">
                <a:solidFill>
                  <a:schemeClr val="bg2">
                    <a:lumMod val="90000"/>
                  </a:schemeClr>
                </a:solidFill>
              </a:endParaRPr>
            </a:p>
          </xdr:txBody>
        </xdr:sp>
        <xdr:cxnSp macro="">
          <xdr:nvCxnSpPr>
            <xdr:cNvPr id="44" name="Straight Connector 43">
              <a:extLst>
                <a:ext uri="{FF2B5EF4-FFF2-40B4-BE49-F238E27FC236}">
                  <a16:creationId xmlns:a16="http://schemas.microsoft.com/office/drawing/2014/main" id="{47DD328E-05E7-4C23-B83C-B72D63C2746D}"/>
                </a:ext>
              </a:extLst>
            </xdr:cNvPr>
            <xdr:cNvCxnSpPr/>
          </xdr:nvCxnSpPr>
          <xdr:spPr>
            <a:xfrm>
              <a:off x="8049683" y="4665561"/>
              <a:ext cx="4756150" cy="0"/>
            </a:xfrm>
            <a:prstGeom prst="line">
              <a:avLst/>
            </a:prstGeom>
            <a:ln>
              <a:solidFill>
                <a:srgbClr val="D9B3C0"/>
              </a:solidFill>
            </a:ln>
          </xdr:spPr>
          <xdr:style>
            <a:lnRef idx="1">
              <a:schemeClr val="accent1"/>
            </a:lnRef>
            <a:fillRef idx="0">
              <a:schemeClr val="accent1"/>
            </a:fillRef>
            <a:effectRef idx="0">
              <a:schemeClr val="accent1"/>
            </a:effectRef>
            <a:fontRef idx="minor">
              <a:schemeClr val="tx1"/>
            </a:fontRef>
          </xdr:style>
        </xdr:cxnSp>
        <xdr:graphicFrame macro="">
          <xdr:nvGraphicFramePr>
            <xdr:cNvPr id="3" name="Chart 2">
              <a:extLst>
                <a:ext uri="{FF2B5EF4-FFF2-40B4-BE49-F238E27FC236}">
                  <a16:creationId xmlns:a16="http://schemas.microsoft.com/office/drawing/2014/main" id="{51E67F41-C2F0-4809-8D73-1519D1B3559D}"/>
                </a:ext>
              </a:extLst>
            </xdr:cNvPr>
            <xdr:cNvGraphicFramePr>
              <a:graphicFrameLocks/>
            </xdr:cNvGraphicFramePr>
          </xdr:nvGraphicFramePr>
          <xdr:xfrm>
            <a:off x="8322204" y="5048250"/>
            <a:ext cx="4219575" cy="2743200"/>
          </xdr:xfrm>
          <a:graphic>
            <a:graphicData uri="http://schemas.openxmlformats.org/drawingml/2006/chart">
              <c:chart xmlns:c="http://schemas.openxmlformats.org/drawingml/2006/chart" xmlns:r="http://schemas.openxmlformats.org/officeDocument/2006/relationships" r:id="rId5"/>
            </a:graphicData>
          </a:graphic>
        </xdr:graphicFrame>
        <xdr:sp macro="" textlink="">
          <xdr:nvSpPr>
            <xdr:cNvPr id="8" name="TextBox 7">
              <a:extLst>
                <a:ext uri="{FF2B5EF4-FFF2-40B4-BE49-F238E27FC236}">
                  <a16:creationId xmlns:a16="http://schemas.microsoft.com/office/drawing/2014/main" id="{B05003D7-6103-E60C-55C3-9363A9360AD1}"/>
                </a:ext>
              </a:extLst>
            </xdr:cNvPr>
            <xdr:cNvSpPr txBox="1"/>
          </xdr:nvSpPr>
          <xdr:spPr>
            <a:xfrm>
              <a:off x="8874654" y="4819650"/>
              <a:ext cx="3114675"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solidFill>
                    <a:schemeClr val="bg2">
                      <a:lumMod val="90000"/>
                    </a:schemeClr>
                  </a:solidFill>
                </a:rPr>
                <a:t>Orders</a:t>
              </a:r>
              <a:r>
                <a:rPr lang="en-US" sz="2400" baseline="0">
                  <a:solidFill>
                    <a:schemeClr val="bg2">
                      <a:lumMod val="90000"/>
                    </a:schemeClr>
                  </a:solidFill>
                </a:rPr>
                <a:t> By Area</a:t>
              </a:r>
              <a:endParaRPr lang="en-US" sz="2400">
                <a:solidFill>
                  <a:schemeClr val="bg2">
                    <a:lumMod val="90000"/>
                  </a:schemeClr>
                </a:solidFill>
              </a:endParaRPr>
            </a:p>
          </xdr:txBody>
        </xdr:sp>
      </xdr:grpSp>
      <xdr:graphicFrame macro="">
        <xdr:nvGraphicFramePr>
          <xdr:cNvPr id="27" name="Chart 26">
            <a:extLst>
              <a:ext uri="{FF2B5EF4-FFF2-40B4-BE49-F238E27FC236}">
                <a16:creationId xmlns:a16="http://schemas.microsoft.com/office/drawing/2014/main" id="{5A103BEA-EC9D-41A2-869E-7A92BB1FA2AE}"/>
              </a:ext>
            </a:extLst>
          </xdr:cNvPr>
          <xdr:cNvGraphicFramePr>
            <a:graphicFrameLocks/>
          </xdr:cNvGraphicFramePr>
        </xdr:nvGraphicFramePr>
        <xdr:xfrm>
          <a:off x="8158876" y="1914524"/>
          <a:ext cx="4572000" cy="2638425"/>
        </xdr:xfrm>
        <a:graphic>
          <a:graphicData uri="http://schemas.openxmlformats.org/drawingml/2006/chart">
            <c:chart xmlns:c="http://schemas.openxmlformats.org/drawingml/2006/chart" xmlns:r="http://schemas.openxmlformats.org/officeDocument/2006/relationships" r:id="rId6"/>
          </a:graphicData>
        </a:graphic>
      </xdr:graphicFrame>
    </xdr:grpSp>
    <xdr:clientData/>
  </xdr:twoCellAnchor>
  <xdr:twoCellAnchor>
    <xdr:from>
      <xdr:col>13</xdr:col>
      <xdr:colOff>142875</xdr:colOff>
      <xdr:row>26</xdr:row>
      <xdr:rowOff>161925</xdr:rowOff>
    </xdr:from>
    <xdr:to>
      <xdr:col>20</xdr:col>
      <xdr:colOff>457200</xdr:colOff>
      <xdr:row>41</xdr:row>
      <xdr:rowOff>0</xdr:rowOff>
    </xdr:to>
    <xdr:graphicFrame macro="">
      <xdr:nvGraphicFramePr>
        <xdr:cNvPr id="38" name="Chart 37">
          <a:extLst>
            <a:ext uri="{FF2B5EF4-FFF2-40B4-BE49-F238E27FC236}">
              <a16:creationId xmlns:a16="http://schemas.microsoft.com/office/drawing/2014/main" id="{DB4C364B-3F6C-4BCB-A0D5-D76D081B99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mar mansour" refreshedDate="46142.592832870374" createdVersion="8" refreshedVersion="8" minRefreshableVersion="3" recordCount="126" xr:uid="{5626D381-4479-4F7B-ADEA-4E0766584F23}">
  <cacheSource type="worksheet">
    <worksheetSource name="Table1"/>
  </cacheSource>
  <cacheFields count="24">
    <cacheField name="0" numFmtId="0">
      <sharedItems containsSemiMixedTypes="0" containsString="0" containsNumber="1" containsInteger="1" minValue="1" maxValue="127"/>
    </cacheField>
    <cacheField name="نوع العميل" numFmtId="0">
      <sharedItems containsNonDate="0" count="2">
        <s v="افراد"/>
        <s v="شركات"/>
      </sharedItems>
    </cacheField>
    <cacheField name="أسم العميل" numFmtId="0">
      <sharedItems containsNonDate="0"/>
    </cacheField>
    <cacheField name="العنوان" numFmtId="0">
      <sharedItems containsNonDate="0" containsBlank="1"/>
    </cacheField>
    <cacheField name="المحافظة" numFmtId="0">
      <sharedItems containsNonDate="0" containsBlank="1" count="9">
        <s v="الجيزه"/>
        <s v="اسكندريه"/>
        <m/>
        <s v="الغردقه"/>
        <s v="القاهرة"/>
        <s v="القليوبيه"/>
        <s v="الغردقه "/>
        <s v="السويس"/>
        <s v="اسيوط "/>
      </sharedItems>
    </cacheField>
    <cacheField name="منصة البيع " numFmtId="0">
      <sharedItems containsNonDate="0" count="11">
        <s v="هومزمارت"/>
        <s v="شيك هومز "/>
        <s v="فيس بوك"/>
        <s v="تاكى"/>
        <s v="اوسكار ريتن "/>
        <s v="السويس"/>
        <s v="منزلى "/>
        <s v="كيمت "/>
        <s v="منزلى" u="1"/>
        <s v="تاكى " u="1"/>
        <s v="شيك هومز" u="1"/>
      </sharedItems>
    </cacheField>
    <cacheField name="منتج" numFmtId="0">
      <sharedItems containsNonDate="0" count="12">
        <s v="سرير"/>
        <s v="تربيزه"/>
        <s v="كنبة "/>
        <s v="ركنة"/>
        <s v="كرسى"/>
        <s v="شيزلونج"/>
        <s v="سرير " u="1"/>
        <s v="كنبة" u="1"/>
        <s v="كنبه" u="1"/>
        <s v="كنبه " u="1"/>
        <s v="ترابيزه" u="1"/>
        <s v="ترابيزه " u="1"/>
      </sharedItems>
    </cacheField>
    <cacheField name="نوع المنتج" numFmtId="0">
      <sharedItems containsNonDate="0" containsBlank="1"/>
    </cacheField>
    <cacheField name="الاسم" numFmtId="0">
      <sharedItems containsNonDate="0" containsBlank="1"/>
    </cacheField>
    <cacheField name="المقاس" numFmtId="0">
      <sharedItems containsBlank="1" containsMixedTypes="1" containsNumber="1" containsInteger="1" minValue="80" maxValue="160"/>
    </cacheField>
    <cacheField name="اللون المعدن" numFmtId="0">
      <sharedItems containsNonDate="0" containsBlank="1" count="14">
        <s v="ابيض"/>
        <s v="اسود"/>
        <s v="ازرق"/>
        <s v="غير معروف "/>
        <s v="رمادى"/>
        <s v="دهبي"/>
        <s v="بنفسجى"/>
        <s v="ملون"/>
        <s v="نبيتى "/>
        <s v="اسود "/>
        <s v="بينك"/>
        <m u="1"/>
        <s v="اسود وبنى" u="1"/>
        <s v="الوان" u="1"/>
      </sharedItems>
    </cacheField>
    <cacheField name="لون القماش" numFmtId="0">
      <sharedItems containsNonDate="0" containsBlank="1"/>
    </cacheField>
    <cacheField name="المنتج" numFmtId="0">
      <sharedItems containsNonDate="0" containsBlank="1"/>
    </cacheField>
    <cacheField name="سعر البيع " numFmtId="164">
      <sharedItems containsSemiMixedTypes="0" containsString="0" containsNumber="1" minValue="4020" maxValue="22000"/>
    </cacheField>
    <cacheField name="طريقه الدفع " numFmtId="0">
      <sharedItems containsBlank="1" containsMixedTypes="1" containsNumber="1" minValue="1278.53" maxValue="22000"/>
    </cacheField>
    <cacheField name="مدة التسليم (الهدف)" numFmtId="0">
      <sharedItems containsSemiMixedTypes="0" containsString="0" containsNumber="1" containsInteger="1" minValue="0" maxValue="67"/>
    </cacheField>
    <cacheField name="مدة التسليم الفعلية" numFmtId="0">
      <sharedItems containsSemiMixedTypes="0" containsString="0" containsNumber="1" containsInteger="1" minValue="0" maxValue="47"/>
    </cacheField>
    <cacheField name="Column1" numFmtId="0">
      <sharedItems containsSemiMixedTypes="0" containsString="0" containsNumber="1" containsInteger="1" minValue="-20" maxValue="67"/>
    </cacheField>
    <cacheField name="Column2" numFmtId="0">
      <sharedItems containsNonDate="0" count="2">
        <s v="متأخرة"/>
        <s v="مسلمة في الموعد"/>
      </sharedItems>
    </cacheField>
    <cacheField name="ميعاد الطلب" numFmtId="14">
      <sharedItems containsNonDate="0" containsDate="1" containsString="0" containsBlank="1" minDate="2024-08-14T00:00:00" maxDate="2024-12-15T00:00:00"/>
    </cacheField>
    <cacheField name="ميعاد التسليم" numFmtId="14">
      <sharedItems containsNonDate="0" containsDate="1" containsString="0" containsBlank="1" minDate="2024-08-20T00:00:00" maxDate="2025-01-06T00:00:00"/>
    </cacheField>
    <cacheField name="تاريخ التسليم" numFmtId="14">
      <sharedItems containsNonDate="0" containsDate="1" containsString="0" containsBlank="1" minDate="2024-08-10T00:00:00" maxDate="2024-12-30T00:00:00"/>
    </cacheField>
    <cacheField name="المسئول عن التسليم" numFmtId="0">
      <sharedItems containsNonDate="0" containsBlank="1"/>
    </cacheField>
    <cacheField name="الحالة" numFmtId="0">
      <sharedItems containsNonDate="0" containsBlank="1" count="6">
        <s v="تم التسليم"/>
        <s v="ملغي"/>
        <s v="مرتجع"/>
        <s v="فشل التسليم" u="1"/>
        <m u="1"/>
        <s v="مرفوض " u="1"/>
      </sharedItems>
    </cacheField>
  </cacheFields>
  <extLst>
    <ext xmlns:x14="http://schemas.microsoft.com/office/spreadsheetml/2009/9/main" uri="{725AE2AE-9491-48be-B2B4-4EB974FC3084}">
      <x14:pivotCacheDefinition pivotCacheId="17455591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6">
  <r>
    <n v="1"/>
    <x v="0"/>
    <s v="خالد عبد القوى "/>
    <s v="العجوزه - الجيزه"/>
    <x v="0"/>
    <x v="0"/>
    <x v="0"/>
    <s v="منطبق"/>
    <m/>
    <m/>
    <x v="0"/>
    <s v="ابيض"/>
    <s v="سرير منطبق الحديد ابيض والقماش ابيض "/>
    <n v="10160"/>
    <s v="مسبق الدفع"/>
    <n v="0"/>
    <n v="0"/>
    <n v="0"/>
    <x v="0"/>
    <m/>
    <m/>
    <d v="2024-08-10T00:00:00"/>
    <s v="تم التسليم عن طريق شركه شحن "/>
    <x v="0"/>
  </r>
  <r>
    <n v="2"/>
    <x v="0"/>
    <s v="محمود"/>
    <s v="سموحه - اسكندريه"/>
    <x v="1"/>
    <x v="0"/>
    <x v="0"/>
    <s v="منطبق"/>
    <m/>
    <m/>
    <x v="1"/>
    <s v="اسود"/>
    <s v="سرير منطبق اسود والقماش اسود "/>
    <n v="10160"/>
    <n v="9749"/>
    <n v="0"/>
    <n v="0"/>
    <n v="0"/>
    <x v="0"/>
    <m/>
    <m/>
    <d v="2024-08-11T00:00:00"/>
    <s v="تم التسليم عن طريق شركه شحن "/>
    <x v="0"/>
  </r>
  <r>
    <n v="3"/>
    <x v="0"/>
    <s v="سعيد"/>
    <s v="سيدى عبد الرحمن - الساحل الشمالى "/>
    <x v="2"/>
    <x v="0"/>
    <x v="0"/>
    <s v="دورين"/>
    <s v="كيفنج"/>
    <n v="90"/>
    <x v="2"/>
    <m/>
    <s v="سرير كيفينج مقاس 90 لون ازرق "/>
    <n v="11455"/>
    <n v="10067.68"/>
    <n v="0"/>
    <n v="0"/>
    <n v="0"/>
    <x v="0"/>
    <m/>
    <m/>
    <m/>
    <s v="ملغى "/>
    <x v="1"/>
  </r>
  <r>
    <n v="4"/>
    <x v="0"/>
    <s v="ساندرا"/>
    <s v="الغردقه "/>
    <x v="3"/>
    <x v="0"/>
    <x v="1"/>
    <m/>
    <m/>
    <m/>
    <x v="3"/>
    <m/>
    <s v="ترابيزه قهوه متحركه "/>
    <n v="8642"/>
    <s v="مسبق الدفع"/>
    <n v="13"/>
    <n v="2"/>
    <n v="11"/>
    <x v="1"/>
    <d v="2024-08-25T00:00:00"/>
    <d v="2024-09-07T00:00:00"/>
    <d v="2024-08-27T00:00:00"/>
    <s v="تم التسليم عن طريق شركه شحن "/>
    <x v="0"/>
  </r>
  <r>
    <n v="5"/>
    <x v="0"/>
    <s v="زينا "/>
    <s v="سيدى عبد الرحمن - الساحل الشمالى "/>
    <x v="2"/>
    <x v="0"/>
    <x v="0"/>
    <s v="دورين"/>
    <s v="نوفال"/>
    <n v="100"/>
    <x v="4"/>
    <m/>
    <s v="سرير نوفال متر رمادى "/>
    <n v="12833"/>
    <n v="12974.22"/>
    <n v="15"/>
    <n v="0"/>
    <n v="15"/>
    <x v="1"/>
    <d v="2024-08-16T00:00:00"/>
    <d v="2024-08-31T00:00:00"/>
    <m/>
    <s v="ملغى "/>
    <x v="1"/>
  </r>
  <r>
    <n v="6"/>
    <x v="1"/>
    <s v="شيك هومز "/>
    <m/>
    <x v="2"/>
    <x v="1"/>
    <x v="2"/>
    <s v="4*1"/>
    <m/>
    <m/>
    <x v="4"/>
    <m/>
    <s v="كنبه سرير رمادى "/>
    <n v="14550"/>
    <s v="مسبق الدفع"/>
    <n v="20"/>
    <n v="22"/>
    <n v="-2"/>
    <x v="0"/>
    <d v="2024-08-14T00:00:00"/>
    <d v="2024-09-03T00:00:00"/>
    <d v="2024-09-05T00:00:00"/>
    <s v="تم التسليم عن طريق شركه شحن "/>
    <x v="0"/>
  </r>
  <r>
    <n v="7"/>
    <x v="0"/>
    <s v="احمد "/>
    <s v="التجمع الخامس"/>
    <x v="4"/>
    <x v="2"/>
    <x v="2"/>
    <s v="4*1"/>
    <m/>
    <m/>
    <x v="4"/>
    <m/>
    <s v="كنبه سرير رمادى "/>
    <n v="12000"/>
    <n v="12000"/>
    <n v="3"/>
    <n v="2"/>
    <n v="1"/>
    <x v="1"/>
    <d v="2024-08-17T00:00:00"/>
    <d v="2024-08-20T00:00:00"/>
    <d v="2024-08-19T00:00:00"/>
    <s v="تم التسليم عن طريق شركه شحن "/>
    <x v="0"/>
  </r>
  <r>
    <n v="8"/>
    <x v="1"/>
    <s v="yilmaz"/>
    <s v="٦ اكتوبر الجيزه "/>
    <x v="0"/>
    <x v="0"/>
    <x v="0"/>
    <s v="فردى"/>
    <m/>
    <m/>
    <x v="0"/>
    <m/>
    <s v="سرير فردى ابيض "/>
    <n v="7228"/>
    <s v="مسبق الدفع"/>
    <n v="9"/>
    <n v="16"/>
    <n v="-7"/>
    <x v="0"/>
    <d v="2024-08-25T00:00:00"/>
    <d v="2024-09-03T00:00:00"/>
    <d v="2024-09-10T00:00:00"/>
    <s v="تم التسليم عن طريق شركه شحن "/>
    <x v="0"/>
  </r>
  <r>
    <n v="9"/>
    <x v="1"/>
    <s v="تاكى "/>
    <s v="العباسيه"/>
    <x v="4"/>
    <x v="3"/>
    <x v="3"/>
    <s v="ركنة بسرير"/>
    <m/>
    <m/>
    <x v="3"/>
    <m/>
    <s v="ركنه "/>
    <n v="22000"/>
    <n v="22000"/>
    <n v="13"/>
    <n v="29"/>
    <n v="-16"/>
    <x v="0"/>
    <d v="2024-08-19T00:00:00"/>
    <d v="2024-09-01T00:00:00"/>
    <d v="2024-09-17T00:00:00"/>
    <m/>
    <x v="0"/>
  </r>
  <r>
    <n v="10"/>
    <x v="1"/>
    <s v="تاكى "/>
    <s v="العباسيه"/>
    <x v="2"/>
    <x v="3"/>
    <x v="2"/>
    <s v="سحارة"/>
    <m/>
    <m/>
    <x v="3"/>
    <m/>
    <s v="٢ كنبه سحاره بمخدع"/>
    <n v="16000"/>
    <n v="16000"/>
    <n v="0"/>
    <n v="0"/>
    <n v="0"/>
    <x v="0"/>
    <m/>
    <m/>
    <m/>
    <s v="ملغى "/>
    <x v="1"/>
  </r>
  <r>
    <n v="11"/>
    <x v="1"/>
    <s v="تاكى "/>
    <s v="العباسيه "/>
    <x v="4"/>
    <x v="3"/>
    <x v="2"/>
    <s v="سحارة"/>
    <m/>
    <m/>
    <x v="3"/>
    <m/>
    <s v="٢ كنبه سحاره بدون مخدع "/>
    <n v="6000"/>
    <n v="12000"/>
    <n v="21"/>
    <n v="23"/>
    <n v="-2"/>
    <x v="0"/>
    <d v="2024-08-25T00:00:00"/>
    <d v="2024-09-15T00:00:00"/>
    <d v="2024-09-17T00:00:00"/>
    <s v="تم التسليم محمود على "/>
    <x v="0"/>
  </r>
  <r>
    <n v="12"/>
    <x v="1"/>
    <s v="تاكى "/>
    <s v="العباسيه "/>
    <x v="4"/>
    <x v="3"/>
    <x v="2"/>
    <s v="سحارة"/>
    <m/>
    <m/>
    <x v="3"/>
    <m/>
    <s v="٢ كنبه سحاره بدون مخدع "/>
    <n v="6000"/>
    <n v="12000"/>
    <n v="21"/>
    <n v="23"/>
    <n v="-2"/>
    <x v="0"/>
    <d v="2024-08-25T00:00:00"/>
    <d v="2024-09-15T00:00:00"/>
    <d v="2024-09-17T00:00:00"/>
    <s v="تم التسليم محمود على "/>
    <x v="0"/>
  </r>
  <r>
    <n v="13"/>
    <x v="0"/>
    <s v="على رشوان "/>
    <s v="مصر الجديده"/>
    <x v="4"/>
    <x v="0"/>
    <x v="0"/>
    <s v="دورين"/>
    <s v="نوفال"/>
    <n v="80"/>
    <x v="0"/>
    <m/>
    <s v="سرير نوفال ابيض مقاس ٨٠"/>
    <n v="10499"/>
    <n v="8924"/>
    <n v="15"/>
    <n v="7"/>
    <n v="8"/>
    <x v="1"/>
    <d v="2024-09-01T00:00:00"/>
    <d v="2024-09-16T00:00:00"/>
    <d v="2024-09-08T00:00:00"/>
    <s v="تم التسليم عن طريق شركه شحن "/>
    <x v="0"/>
  </r>
  <r>
    <n v="14"/>
    <x v="0"/>
    <s v="احمد فخرى "/>
    <s v="٦ اكتوبر الجيزه "/>
    <x v="2"/>
    <x v="0"/>
    <x v="0"/>
    <s v="فردى"/>
    <s v="نوفال"/>
    <n v="80"/>
    <x v="0"/>
    <m/>
    <s v="سرير فردى خشب موسكى الحديد ابيض مقاس ٨٠"/>
    <n v="7295"/>
    <n v="5895"/>
    <n v="9"/>
    <n v="0"/>
    <n v="9"/>
    <x v="1"/>
    <d v="2024-09-05T00:00:00"/>
    <d v="2024-09-14T00:00:00"/>
    <m/>
    <m/>
    <x v="1"/>
  </r>
  <r>
    <n v="15"/>
    <x v="0"/>
    <s v="لينا "/>
    <s v="المقطم "/>
    <x v="2"/>
    <x v="0"/>
    <x v="1"/>
    <s v="2 ميكانزم"/>
    <m/>
    <m/>
    <x v="3"/>
    <m/>
    <s v="ترابيزه قهوه علويه جديده "/>
    <n v="7849"/>
    <s v="مسبق الدفع"/>
    <n v="12"/>
    <n v="21"/>
    <n v="-9"/>
    <x v="0"/>
    <d v="2024-09-04T00:00:00"/>
    <d v="2024-09-16T00:00:00"/>
    <d v="2024-09-25T00:00:00"/>
    <s v="تم التسليم عن طريق شركه شحن "/>
    <x v="2"/>
  </r>
  <r>
    <n v="16"/>
    <x v="0"/>
    <s v="فيصل نعيم "/>
    <s v="التجمع الخامس "/>
    <x v="4"/>
    <x v="4"/>
    <x v="0"/>
    <s v="دورين"/>
    <s v="كيفنج"/>
    <n v="120"/>
    <x v="1"/>
    <m/>
    <s v="٢ سرير كيفنج ١٢٠ اسود "/>
    <n v="6180"/>
    <n v="9700"/>
    <n v="13"/>
    <n v="12"/>
    <n v="1"/>
    <x v="1"/>
    <d v="2024-09-03T00:00:00"/>
    <d v="2024-09-16T00:00:00"/>
    <d v="2024-09-15T00:00:00"/>
    <s v="تم التسليم محمود على "/>
    <x v="0"/>
  </r>
  <r>
    <n v="17"/>
    <x v="0"/>
    <s v="فيصل نعيم "/>
    <s v="التجمع الخامس "/>
    <x v="4"/>
    <x v="4"/>
    <x v="0"/>
    <s v="دورين"/>
    <s v="كيفنج"/>
    <n v="120"/>
    <x v="1"/>
    <m/>
    <s v="٢ سرير كيفنج ١٢٠ اسود "/>
    <n v="6180"/>
    <n v="9700"/>
    <n v="13"/>
    <n v="12"/>
    <n v="1"/>
    <x v="1"/>
    <d v="2024-09-03T00:00:00"/>
    <d v="2024-09-16T00:00:00"/>
    <d v="2024-09-15T00:00:00"/>
    <s v="تم التسليم محمود على "/>
    <x v="0"/>
  </r>
  <r>
    <n v="18"/>
    <x v="0"/>
    <s v="ellho elkafy"/>
    <s v="مدينه نصر "/>
    <x v="2"/>
    <x v="0"/>
    <x v="0"/>
    <s v="دورين"/>
    <s v="كينج"/>
    <n v="80"/>
    <x v="0"/>
    <m/>
    <s v="سرير كينج ابيض مقاس ٨٠ التصميم الجديد "/>
    <n v="11199"/>
    <n v="11310"/>
    <n v="14"/>
    <n v="0"/>
    <n v="14"/>
    <x v="1"/>
    <d v="2024-09-04T00:00:00"/>
    <d v="2024-09-18T00:00:00"/>
    <m/>
    <m/>
    <x v="1"/>
  </r>
  <r>
    <n v="19"/>
    <x v="0"/>
    <s v="احمد "/>
    <s v="القاهره الجديده"/>
    <x v="4"/>
    <x v="0"/>
    <x v="0"/>
    <s v="فردى"/>
    <s v="فورجينا"/>
    <n v="80"/>
    <x v="0"/>
    <m/>
    <s v="٤سرير فردى خشب موسكى الحديد ابيض مقاس ٨٠"/>
    <n v="7987"/>
    <s v="مسبق الدفع"/>
    <n v="10"/>
    <n v="15"/>
    <n v="-5"/>
    <x v="0"/>
    <d v="2024-09-06T00:00:00"/>
    <d v="2024-09-16T00:00:00"/>
    <d v="2024-09-21T00:00:00"/>
    <s v="تم التسليم محمود على "/>
    <x v="0"/>
  </r>
  <r>
    <n v="20"/>
    <x v="0"/>
    <s v="تاكى"/>
    <s v="العباسيه"/>
    <x v="4"/>
    <x v="3"/>
    <x v="4"/>
    <s v="فنسيا"/>
    <m/>
    <m/>
    <x v="3"/>
    <m/>
    <s v="٢ فوتيه فنيسيا "/>
    <n v="9300"/>
    <n v="9300"/>
    <n v="11"/>
    <n v="13"/>
    <n v="-2"/>
    <x v="0"/>
    <d v="2024-09-04T00:00:00"/>
    <d v="2024-09-15T00:00:00"/>
    <d v="2024-09-17T00:00:00"/>
    <s v="تم التسليم محمود على "/>
    <x v="0"/>
  </r>
  <r>
    <n v="21"/>
    <x v="0"/>
    <s v="احمد "/>
    <s v="القاهره الجديده"/>
    <x v="4"/>
    <x v="0"/>
    <x v="0"/>
    <s v="فردى"/>
    <s v="فورجينا"/>
    <n v="80"/>
    <x v="0"/>
    <m/>
    <s v="٤سرير فردى خشب موسكى الحديد ابيض مقاس ٨٠"/>
    <n v="7987"/>
    <s v="مسبق الدفع"/>
    <n v="10"/>
    <n v="15"/>
    <n v="-5"/>
    <x v="0"/>
    <d v="2024-09-06T00:00:00"/>
    <d v="2024-09-16T00:00:00"/>
    <d v="2024-09-21T00:00:00"/>
    <s v="تم التسليم محمود على "/>
    <x v="0"/>
  </r>
  <r>
    <n v="22"/>
    <x v="0"/>
    <s v="احمد "/>
    <s v="القاهره الجديده"/>
    <x v="4"/>
    <x v="0"/>
    <x v="0"/>
    <s v="فردى"/>
    <s v="فورجينا"/>
    <n v="80"/>
    <x v="0"/>
    <m/>
    <s v="٤سرير فردى خشب موسكى الحديد ابيض مقاس ٨٠"/>
    <n v="7987"/>
    <s v="مسبق الدفع"/>
    <n v="10"/>
    <n v="15"/>
    <n v="-5"/>
    <x v="0"/>
    <d v="2024-09-06T00:00:00"/>
    <d v="2024-09-16T00:00:00"/>
    <d v="2024-09-21T00:00:00"/>
    <s v="تم التسليم محمود على "/>
    <x v="0"/>
  </r>
  <r>
    <n v="23"/>
    <x v="0"/>
    <s v="احمد "/>
    <s v="القاهره الجديده"/>
    <x v="4"/>
    <x v="0"/>
    <x v="0"/>
    <s v="فردى"/>
    <s v="فورجينا"/>
    <n v="80"/>
    <x v="0"/>
    <m/>
    <s v="٤سرير فردى خشب موسكى الحديد ابيض مقاس ٨٠"/>
    <n v="7987"/>
    <s v="مسبق الدفع"/>
    <n v="10"/>
    <n v="15"/>
    <n v="-5"/>
    <x v="0"/>
    <d v="2024-09-06T00:00:00"/>
    <d v="2024-09-16T00:00:00"/>
    <d v="2024-09-21T00:00:00"/>
    <s v="تم التسليم محمود على "/>
    <x v="0"/>
  </r>
  <r>
    <n v="24"/>
    <x v="0"/>
    <s v="صفاء"/>
    <s v="المعادى"/>
    <x v="2"/>
    <x v="0"/>
    <x v="1"/>
    <s v="2 ميكانزم"/>
    <m/>
    <m/>
    <x v="3"/>
    <m/>
    <s v="ترابيزه قهوه علويه جديده "/>
    <n v="8849"/>
    <s v="مسبق الدفع"/>
    <n v="43"/>
    <n v="0"/>
    <n v="43"/>
    <x v="1"/>
    <d v="2024-09-03T00:00:00"/>
    <d v="2024-10-16T00:00:00"/>
    <m/>
    <m/>
    <x v="1"/>
  </r>
  <r>
    <n v="25"/>
    <x v="0"/>
    <s v="حسن حازم"/>
    <s v="٦ اكتوبر الجيزه "/>
    <x v="0"/>
    <x v="0"/>
    <x v="0"/>
    <s v="فردى"/>
    <s v="اسبانى"/>
    <n v="120"/>
    <x v="0"/>
    <m/>
    <s v="سرير اسبانى ابيض ١٢٠"/>
    <n v="10987"/>
    <s v="مسبق الدفع"/>
    <n v="8"/>
    <n v="12"/>
    <n v="-4"/>
    <x v="0"/>
    <d v="2024-09-09T00:00:00"/>
    <d v="2024-09-17T00:00:00"/>
    <d v="2024-09-21T00:00:00"/>
    <s v="تم التسليم محمود على "/>
    <x v="0"/>
  </r>
  <r>
    <n v="26"/>
    <x v="1"/>
    <s v="شيك هومز "/>
    <m/>
    <x v="2"/>
    <x v="1"/>
    <x v="0"/>
    <s v="دورين"/>
    <s v="كينج"/>
    <n v="100"/>
    <x v="0"/>
    <m/>
    <s v="سرير كينج ابيض "/>
    <n v="9208"/>
    <n v="5781.75"/>
    <n v="18"/>
    <n v="20"/>
    <n v="-2"/>
    <x v="0"/>
    <d v="2024-09-01T00:00:00"/>
    <d v="2024-09-19T00:00:00"/>
    <d v="2024-09-21T00:00:00"/>
    <s v="تم التسليم محمود على "/>
    <x v="0"/>
  </r>
  <r>
    <n v="27"/>
    <x v="1"/>
    <s v="شيك هومز "/>
    <m/>
    <x v="2"/>
    <x v="1"/>
    <x v="0"/>
    <s v="دورين"/>
    <s v="كينج"/>
    <n v="100"/>
    <x v="1"/>
    <m/>
    <s v="سرير كينج اسود "/>
    <n v="9208"/>
    <n v="1278.53"/>
    <n v="18"/>
    <n v="20"/>
    <n v="-2"/>
    <x v="0"/>
    <d v="2024-09-01T00:00:00"/>
    <d v="2024-09-19T00:00:00"/>
    <d v="2024-09-21T00:00:00"/>
    <s v="تم التسليم محمود على "/>
    <x v="0"/>
  </r>
  <r>
    <n v="28"/>
    <x v="1"/>
    <s v="اوسكار راتن"/>
    <s v="مخزن اوسكار في القناطر "/>
    <x v="5"/>
    <x v="4"/>
    <x v="0"/>
    <s v="فردى"/>
    <s v="فورجينا"/>
    <n v="120"/>
    <x v="0"/>
    <m/>
    <s v="٢ سريرفورجينا خشب موسكى ابيض مقاس ١٢٠"/>
    <n v="4020"/>
    <s v="حساب شركه"/>
    <n v="9"/>
    <n v="10"/>
    <n v="-1"/>
    <x v="0"/>
    <d v="2024-09-12T00:00:00"/>
    <d v="2024-09-21T00:00:00"/>
    <d v="2024-09-22T00:00:00"/>
    <s v="تم التسليم محمود على "/>
    <x v="0"/>
  </r>
  <r>
    <n v="29"/>
    <x v="1"/>
    <s v="اوسكار راتن"/>
    <s v="مخزن اوسكار في القناطر "/>
    <x v="5"/>
    <x v="4"/>
    <x v="0"/>
    <s v="فردى"/>
    <s v="فورجينا"/>
    <n v="120"/>
    <x v="0"/>
    <m/>
    <s v="٢ سريرفورجينا خشب موسكى ابيض مقاس ١٢٠"/>
    <n v="4020"/>
    <s v="حساب شركه"/>
    <n v="9"/>
    <n v="10"/>
    <n v="-1"/>
    <x v="0"/>
    <d v="2024-09-12T00:00:00"/>
    <d v="2024-09-21T00:00:00"/>
    <d v="2024-09-22T00:00:00"/>
    <s v="تم التسليم محمود على "/>
    <x v="0"/>
  </r>
  <r>
    <n v="30"/>
    <x v="1"/>
    <s v="اوسكار راتن"/>
    <s v="مخزن اوسكار في القناطر "/>
    <x v="5"/>
    <x v="4"/>
    <x v="0"/>
    <s v="فردى"/>
    <s v="ارفيل"/>
    <n v="120"/>
    <x v="1"/>
    <m/>
    <s v="٢ سرير ارفيل ١٢٠ اسود "/>
    <n v="4020"/>
    <s v="مسبق الدفع "/>
    <n v="9"/>
    <n v="10"/>
    <n v="-1"/>
    <x v="0"/>
    <d v="2024-09-12T00:00:00"/>
    <d v="2024-09-21T00:00:00"/>
    <d v="2024-09-22T00:00:00"/>
    <s v="تم التسليم محمود على "/>
    <x v="0"/>
  </r>
  <r>
    <n v="31"/>
    <x v="1"/>
    <s v="اوسكار راتن"/>
    <s v="مخزن اوسكار في القناطر "/>
    <x v="5"/>
    <x v="4"/>
    <x v="0"/>
    <s v="فردى"/>
    <s v="ارفيل"/>
    <n v="120"/>
    <x v="1"/>
    <m/>
    <s v="٢ سرير ارفيل ١٢٠ اسود "/>
    <n v="4020"/>
    <s v="مسبق الدفع "/>
    <n v="9"/>
    <n v="10"/>
    <n v="-1"/>
    <x v="0"/>
    <d v="2024-09-12T00:00:00"/>
    <d v="2024-09-21T00:00:00"/>
    <d v="2024-09-22T00:00:00"/>
    <s v="تم التسليم محمود على "/>
    <x v="0"/>
  </r>
  <r>
    <n v="32"/>
    <x v="0"/>
    <s v="صفاء الحكيم"/>
    <s v="العين السخنه"/>
    <x v="2"/>
    <x v="0"/>
    <x v="0"/>
    <s v="منطبق"/>
    <m/>
    <m/>
    <x v="1"/>
    <s v="اسود"/>
    <s v="سرير منطببق اسود وقماش اسود"/>
    <n v="9399"/>
    <s v="مسبق الدفع "/>
    <n v="0"/>
    <n v="0"/>
    <n v="0"/>
    <x v="0"/>
    <m/>
    <d v="2024-09-22T00:00:00"/>
    <m/>
    <s v="ملغى "/>
    <x v="1"/>
  </r>
  <r>
    <n v="33"/>
    <x v="0"/>
    <s v="يوسف شناوى"/>
    <s v="الابراهيميه . الإسكندرية "/>
    <x v="1"/>
    <x v="0"/>
    <x v="1"/>
    <s v="رف سحاب"/>
    <m/>
    <m/>
    <x v="3"/>
    <m/>
    <s v="ترابيزه قهوه علويه برف سحاب "/>
    <n v="8349"/>
    <s v="مسبق الدفع "/>
    <n v="8"/>
    <n v="10"/>
    <n v="-2"/>
    <x v="0"/>
    <d v="2024-09-14T00:00:00"/>
    <d v="2024-09-22T00:00:00"/>
    <d v="2024-09-24T00:00:00"/>
    <s v="تم التسليم عن طريق شركه شحن "/>
    <x v="0"/>
  </r>
  <r>
    <n v="34"/>
    <x v="0"/>
    <s v="حاتم العيسوي "/>
    <s v="٦ اكتوبر الجيزه "/>
    <x v="0"/>
    <x v="0"/>
    <x v="0"/>
    <s v="منطبق"/>
    <m/>
    <m/>
    <x v="1"/>
    <s v="اسود"/>
    <s v="سرير منطبق اسود حديد وقماش"/>
    <n v="9399"/>
    <s v="مسبق الدفع"/>
    <n v="11"/>
    <n v="0"/>
    <n v="11"/>
    <x v="1"/>
    <d v="2024-09-13T00:00:00"/>
    <d v="2024-09-24T00:00:00"/>
    <m/>
    <s v="تم التسليم عن طريق شركه شحن "/>
    <x v="0"/>
  </r>
  <r>
    <n v="35"/>
    <x v="0"/>
    <s v="رنا "/>
    <s v="القطاميه "/>
    <x v="4"/>
    <x v="0"/>
    <x v="1"/>
    <s v="2 ميكانزم"/>
    <m/>
    <m/>
    <x v="3"/>
    <m/>
    <s v="ترابيزه قهوه علويه جديده "/>
    <n v="7849"/>
    <n v="7928"/>
    <n v="14"/>
    <n v="0"/>
    <n v="14"/>
    <x v="1"/>
    <d v="2024-09-12T00:00:00"/>
    <d v="2024-09-26T00:00:00"/>
    <m/>
    <s v="تم التسليم عن طريق شركه شحن "/>
    <x v="0"/>
  </r>
  <r>
    <n v="36"/>
    <x v="0"/>
    <s v="عبير نور الدين"/>
    <s v="١٨ شارع البحيري بولاق الدكرور الجيزه "/>
    <x v="2"/>
    <x v="2"/>
    <x v="0"/>
    <s v="ثلاثه ادوار"/>
    <s v="كيفنج"/>
    <n v="100"/>
    <x v="1"/>
    <m/>
    <s v="سرير ٣ ادورا اسود مقاس ١٠٠ "/>
    <n v="9450"/>
    <n v="9450"/>
    <n v="14"/>
    <n v="0"/>
    <n v="14"/>
    <x v="1"/>
    <d v="2024-09-12T00:00:00"/>
    <d v="2024-09-26T00:00:00"/>
    <m/>
    <m/>
    <x v="1"/>
  </r>
  <r>
    <n v="37"/>
    <x v="0"/>
    <s v="اسراء ابو العنين "/>
    <s v="القاهره الجديده"/>
    <x v="4"/>
    <x v="0"/>
    <x v="0"/>
    <s v="فردى"/>
    <s v="اسبانى"/>
    <n v="120"/>
    <x v="1"/>
    <m/>
    <s v="سرير اسبانى اسود مقاس ١٢٠"/>
    <n v="7460"/>
    <s v="مسبق الدفع"/>
    <n v="13"/>
    <n v="20"/>
    <n v="-7"/>
    <x v="0"/>
    <d v="2024-09-13T00:00:00"/>
    <d v="2024-09-26T00:00:00"/>
    <d v="2024-10-03T00:00:00"/>
    <s v="تم التسليم محمود على "/>
    <x v="0"/>
  </r>
  <r>
    <n v="38"/>
    <x v="0"/>
    <s v="وائل صادق"/>
    <s v="القاهره الجديده"/>
    <x v="4"/>
    <x v="0"/>
    <x v="0"/>
    <s v="فردى"/>
    <s v="كورين"/>
    <n v="140"/>
    <x v="5"/>
    <s v="رمادى"/>
    <s v="سرير كوين مقاس ١٤٠ دهبي ورمادى "/>
    <n v="9528"/>
    <s v="مسبق الدفع"/>
    <n v="13"/>
    <n v="20"/>
    <n v="-7"/>
    <x v="0"/>
    <d v="2024-09-13T00:00:00"/>
    <d v="2024-09-26T00:00:00"/>
    <d v="2024-10-03T00:00:00"/>
    <s v="تم التسليم محمود على "/>
    <x v="0"/>
  </r>
  <r>
    <n v="39"/>
    <x v="0"/>
    <s v="حسن مغرب "/>
    <s v="٦ اكتوبر الجيزه "/>
    <x v="0"/>
    <x v="0"/>
    <x v="0"/>
    <s v="دورين"/>
    <s v="كيفنج"/>
    <n v="120"/>
    <x v="4"/>
    <m/>
    <s v="سرير كيفنج ١٢٠ رمادى "/>
    <n v="12999"/>
    <s v="مسبق الدفع"/>
    <n v="13"/>
    <n v="18"/>
    <n v="-5"/>
    <x v="0"/>
    <d v="2024-09-14T00:00:00"/>
    <d v="2024-09-27T00:00:00"/>
    <d v="2024-10-02T00:00:00"/>
    <s v="تم التسليم محمود على "/>
    <x v="0"/>
  </r>
  <r>
    <n v="40"/>
    <x v="0"/>
    <s v="على السيد "/>
    <s v="الشروق القاهره "/>
    <x v="4"/>
    <x v="0"/>
    <x v="0"/>
    <s v="دورين"/>
    <s v="نوفال"/>
    <n v="90"/>
    <x v="1"/>
    <m/>
    <s v="سرير نوفال  ٩٠ اسود "/>
    <n v="5999"/>
    <s v="مسبق الدفع"/>
    <n v="17"/>
    <n v="0"/>
    <n v="17"/>
    <x v="1"/>
    <d v="2024-09-12T00:00:00"/>
    <d v="2024-09-29T00:00:00"/>
    <m/>
    <m/>
    <x v="0"/>
  </r>
  <r>
    <n v="41"/>
    <x v="0"/>
    <s v="هشام بسيونى "/>
    <s v="حدايق الاهرام "/>
    <x v="0"/>
    <x v="0"/>
    <x v="0"/>
    <s v="دورين"/>
    <s v="كيفنج"/>
    <n v="100"/>
    <x v="1"/>
    <m/>
    <s v="            ٢ سرير كيفنج ١٠٠ اسود "/>
    <n v="11949"/>
    <n v="10749"/>
    <n v="17"/>
    <n v="20"/>
    <n v="-3"/>
    <x v="0"/>
    <d v="2024-09-12T00:00:00"/>
    <d v="2024-09-29T00:00:00"/>
    <d v="2024-10-02T00:00:00"/>
    <s v="تم التسليم محمود على "/>
    <x v="0"/>
  </r>
  <r>
    <n v="42"/>
    <x v="0"/>
    <s v="هشام بسيونى "/>
    <s v="حدايق الاهرام "/>
    <x v="0"/>
    <x v="0"/>
    <x v="0"/>
    <s v="دورين"/>
    <s v="كيفنج"/>
    <n v="100"/>
    <x v="1"/>
    <m/>
    <s v="            ٢ سرير كيفنج ١٠٠ اسود "/>
    <n v="11949"/>
    <n v="10749"/>
    <n v="17"/>
    <n v="20"/>
    <n v="-3"/>
    <x v="0"/>
    <d v="2024-09-12T00:00:00"/>
    <d v="2024-09-29T00:00:00"/>
    <d v="2024-10-02T00:00:00"/>
    <s v="تم التسليم محمود على "/>
    <x v="0"/>
  </r>
  <r>
    <n v="43"/>
    <x v="0"/>
    <s v="احمد "/>
    <s v="الشروق"/>
    <x v="4"/>
    <x v="0"/>
    <x v="0"/>
    <s v="ثلاثه ادوار"/>
    <s v="كيفنج"/>
    <n v="80"/>
    <x v="0"/>
    <m/>
    <s v="سرير ٣ ادوار ابيض مقاس ٨٠ ابيض "/>
    <n v="16599"/>
    <s v="مسبق الدفع"/>
    <n v="17"/>
    <n v="20"/>
    <n v="-3"/>
    <x v="0"/>
    <d v="2024-09-13T00:00:00"/>
    <d v="2024-09-30T00:00:00"/>
    <d v="2024-10-03T00:00:00"/>
    <s v="تم التسليم محمود على "/>
    <x v="0"/>
  </r>
  <r>
    <n v="44"/>
    <x v="0"/>
    <s v="ساره وجيه "/>
    <s v="الغردقه "/>
    <x v="6"/>
    <x v="0"/>
    <x v="0"/>
    <s v="دورين"/>
    <s v="كيفنج"/>
    <n v="80"/>
    <x v="0"/>
    <m/>
    <s v="سرير كيفنج دورين مقاس ٨٠ ابيض "/>
    <n v="10999"/>
    <s v="مسبق الدفع"/>
    <n v="17"/>
    <n v="33"/>
    <n v="-16"/>
    <x v="0"/>
    <d v="2024-09-13T00:00:00"/>
    <d v="2024-09-30T00:00:00"/>
    <d v="2024-10-16T00:00:00"/>
    <s v="تم التسليم عن طريق شركه شحن "/>
    <x v="0"/>
  </r>
  <r>
    <n v="45"/>
    <x v="0"/>
    <s v="مها "/>
    <s v="لافيستا العين السخنه "/>
    <x v="7"/>
    <x v="0"/>
    <x v="0"/>
    <s v="دورين"/>
    <s v="كيفنج"/>
    <n v="140"/>
    <x v="2"/>
    <m/>
    <s v="سرير استيل ازرق مقاس ١٤٠"/>
    <n v="13099"/>
    <s v="مسبق الدفع"/>
    <n v="17"/>
    <n v="20"/>
    <n v="-3"/>
    <x v="0"/>
    <d v="2024-09-13T00:00:00"/>
    <d v="2024-09-30T00:00:00"/>
    <d v="2024-10-03T00:00:00"/>
    <s v="تم التسليم عن طريق شركه شحن "/>
    <x v="0"/>
  </r>
  <r>
    <n v="46"/>
    <x v="0"/>
    <s v="بسام الشربينى "/>
    <s v="٦ اكتوبر الجيزه "/>
    <x v="0"/>
    <x v="0"/>
    <x v="0"/>
    <s v="دورين"/>
    <s v="كينج"/>
    <n v="120"/>
    <x v="6"/>
    <m/>
    <s v="سرير كينج ١٢٠ بنفسجى "/>
    <n v="13849"/>
    <s v="مسبق الدفع"/>
    <n v="17"/>
    <n v="37"/>
    <n v="-20"/>
    <x v="0"/>
    <d v="2024-09-13T00:00:00"/>
    <d v="2024-09-30T00:00:00"/>
    <d v="2024-10-20T00:00:00"/>
    <s v="تم التسليم محمود على "/>
    <x v="0"/>
  </r>
  <r>
    <n v="47"/>
    <x v="0"/>
    <s v="هبه عبد الفتاح "/>
    <s v="القاهره الجديده "/>
    <x v="4"/>
    <x v="0"/>
    <x v="2"/>
    <s v="4*1"/>
    <m/>
    <m/>
    <x v="1"/>
    <s v="رمادى"/>
    <s v="كنبه سرير ٤ حركه "/>
    <n v="21999"/>
    <s v="مسبق الدفع"/>
    <n v="17"/>
    <n v="0"/>
    <n v="17"/>
    <x v="1"/>
    <d v="2024-09-13T00:00:00"/>
    <d v="2024-09-30T00:00:00"/>
    <m/>
    <s v="تم التسليم محمود على "/>
    <x v="0"/>
  </r>
  <r>
    <n v="48"/>
    <x v="0"/>
    <s v="اسراء ابراهيم "/>
    <s v="٦ اكتوبر الجيزه "/>
    <x v="0"/>
    <x v="0"/>
    <x v="0"/>
    <s v="دورين"/>
    <s v="كيفنج"/>
    <n v="80"/>
    <x v="0"/>
    <m/>
    <s v="سرير كيفنج دورين مقاس ٨٠ ابيض "/>
    <n v="10999"/>
    <s v="مسبق الدفع"/>
    <n v="17"/>
    <n v="32"/>
    <n v="-15"/>
    <x v="0"/>
    <d v="2024-09-13T00:00:00"/>
    <d v="2024-09-30T00:00:00"/>
    <d v="2024-10-15T00:00:00"/>
    <s v="تم التسليم محمود على "/>
    <x v="0"/>
  </r>
  <r>
    <n v="49"/>
    <x v="0"/>
    <s v="طارق كمال "/>
    <s v="المعادى"/>
    <x v="4"/>
    <x v="0"/>
    <x v="0"/>
    <s v="ثلاثه ادوار"/>
    <s v="كيفنج"/>
    <n v="90"/>
    <x v="1"/>
    <m/>
    <s v="سرير ٣ ادوار اسود مقاس ٩٠ "/>
    <n v="17249"/>
    <s v="مسبق الدفع"/>
    <n v="17"/>
    <n v="21"/>
    <n v="-4"/>
    <x v="0"/>
    <d v="2024-09-13T00:00:00"/>
    <d v="2024-09-30T00:00:00"/>
    <d v="2024-10-04T00:00:00"/>
    <s v="تم التسليم محمود على "/>
    <x v="0"/>
  </r>
  <r>
    <n v="50"/>
    <x v="0"/>
    <s v="ديفد بهجت "/>
    <s v="فيصل الجيزه"/>
    <x v="0"/>
    <x v="0"/>
    <x v="1"/>
    <s v="2 ميكانزم"/>
    <m/>
    <m/>
    <x v="3"/>
    <m/>
    <s v="تربيزه قهوه ٢ رافع"/>
    <n v="8349"/>
    <s v="مسبق الدفع"/>
    <n v="32"/>
    <n v="37"/>
    <n v="-5"/>
    <x v="0"/>
    <d v="2024-09-14T00:00:00"/>
    <d v="2024-10-16T00:00:00"/>
    <d v="2024-10-21T00:00:00"/>
    <s v="تم التسليم محمود على "/>
    <x v="0"/>
  </r>
  <r>
    <n v="51"/>
    <x v="0"/>
    <s v="اياد "/>
    <s v="المقطم "/>
    <x v="4"/>
    <x v="0"/>
    <x v="1"/>
    <s v="بمكتبة"/>
    <m/>
    <m/>
    <x v="3"/>
    <m/>
    <s v="ترابيزه قهوه متحركه "/>
    <n v="7849"/>
    <s v="مسبق الدفع"/>
    <n v="45"/>
    <n v="46"/>
    <n v="-1"/>
    <x v="0"/>
    <d v="2024-09-14T00:00:00"/>
    <d v="2024-10-29T00:00:00"/>
    <d v="2024-10-30T00:00:00"/>
    <s v="تم التسليم محمود على "/>
    <x v="0"/>
  </r>
  <r>
    <n v="52"/>
    <x v="0"/>
    <s v="ميار خورشد"/>
    <s v="٦ اكتوبر الجيزه "/>
    <x v="0"/>
    <x v="0"/>
    <x v="0"/>
    <s v="منطبق"/>
    <m/>
    <m/>
    <x v="1"/>
    <s v="اسود"/>
    <s v="سرير منطبق اسود حديد ومعدن "/>
    <n v="9399"/>
    <s v="مسبق الدفع "/>
    <n v="45"/>
    <n v="31"/>
    <n v="14"/>
    <x v="1"/>
    <d v="2024-09-14T00:00:00"/>
    <d v="2024-10-29T00:00:00"/>
    <d v="2024-10-15T00:00:00"/>
    <s v="تم التسليم محمود على "/>
    <x v="0"/>
  </r>
  <r>
    <n v="53"/>
    <x v="0"/>
    <s v="عبد الله سيد "/>
    <s v="الشيخ زايد ٦ اكتوبر "/>
    <x v="0"/>
    <x v="0"/>
    <x v="0"/>
    <s v="فردى"/>
    <s v="اسبانى"/>
    <n v="140"/>
    <x v="1"/>
    <m/>
    <s v="سرير اسبانى  ١٤٠ اسود وبيج "/>
    <n v="11817"/>
    <s v="مسبق الدفع "/>
    <n v="45"/>
    <n v="31"/>
    <n v="14"/>
    <x v="1"/>
    <d v="2024-09-14T00:00:00"/>
    <d v="2024-10-29T00:00:00"/>
    <d v="2024-10-15T00:00:00"/>
    <s v="تم التسليم محمود على "/>
    <x v="0"/>
  </r>
  <r>
    <n v="54"/>
    <x v="0"/>
    <s v="كينج سونا "/>
    <s v="الشروق"/>
    <x v="4"/>
    <x v="0"/>
    <x v="1"/>
    <s v="رف سحاب"/>
    <m/>
    <m/>
    <x v="3"/>
    <m/>
    <s v="تربيزه قهوه مرتفعه برف سحاب "/>
    <n v="8349"/>
    <s v="مسبق الدفع "/>
    <n v="45"/>
    <n v="35"/>
    <n v="10"/>
    <x v="1"/>
    <d v="2024-09-14T00:00:00"/>
    <d v="2024-10-29T00:00:00"/>
    <d v="2024-10-19T00:00:00"/>
    <s v="تم التسليم محمود على "/>
    <x v="0"/>
  </r>
  <r>
    <n v="55"/>
    <x v="0"/>
    <s v="احمد خالد "/>
    <s v="الرحاب"/>
    <x v="2"/>
    <x v="0"/>
    <x v="0"/>
    <s v="فردى"/>
    <s v="فورجينا"/>
    <n v="120"/>
    <x v="0"/>
    <m/>
    <s v=" ٢. سرير فورجينا ابيض مقاس ١٢٠"/>
    <n v="17886"/>
    <s v="مسبق الدفع "/>
    <n v="45"/>
    <n v="0"/>
    <n v="45"/>
    <x v="1"/>
    <d v="2024-09-14T00:00:00"/>
    <d v="2024-10-29T00:00:00"/>
    <m/>
    <m/>
    <x v="1"/>
  </r>
  <r>
    <n v="56"/>
    <x v="0"/>
    <s v="احمد خالد "/>
    <s v="الرحاب"/>
    <x v="2"/>
    <x v="0"/>
    <x v="0"/>
    <s v="فردى"/>
    <s v="فورجينا"/>
    <n v="120"/>
    <x v="0"/>
    <m/>
    <s v=" ٢. سرير فورجينا ابيض مقاس ١٢٠"/>
    <n v="17886"/>
    <s v="مسبق الدفع "/>
    <n v="45"/>
    <n v="0"/>
    <n v="45"/>
    <x v="1"/>
    <d v="2024-09-14T00:00:00"/>
    <d v="2024-10-29T00:00:00"/>
    <m/>
    <m/>
    <x v="1"/>
  </r>
  <r>
    <n v="57"/>
    <x v="0"/>
    <s v="ساره"/>
    <s v="القاهره الجديده"/>
    <x v="4"/>
    <x v="0"/>
    <x v="0"/>
    <s v="فردى"/>
    <s v="اسبانى"/>
    <n v="120"/>
    <x v="0"/>
    <m/>
    <s v="   ٢. سرير اسبانى ابيض ١٢٠"/>
    <n v="10987"/>
    <s v="مسبق الدفع"/>
    <n v="45"/>
    <n v="29"/>
    <n v="16"/>
    <x v="1"/>
    <d v="2024-09-14T00:00:00"/>
    <d v="2024-10-29T00:00:00"/>
    <d v="2024-10-13T00:00:00"/>
    <s v="تم التسليم محمود على "/>
    <x v="0"/>
  </r>
  <r>
    <n v="58"/>
    <x v="0"/>
    <s v="ساره"/>
    <s v="القاهره الجديده"/>
    <x v="4"/>
    <x v="0"/>
    <x v="0"/>
    <s v="فردى"/>
    <s v="اسبانى"/>
    <n v="120"/>
    <x v="0"/>
    <m/>
    <s v="   ٢. سرير اسبانى ابيض ١٢٠"/>
    <n v="10987"/>
    <s v="مسبق الدفع"/>
    <n v="45"/>
    <n v="29"/>
    <n v="16"/>
    <x v="1"/>
    <d v="2024-09-14T00:00:00"/>
    <d v="2024-10-29T00:00:00"/>
    <d v="2024-10-13T00:00:00"/>
    <s v="تم التسليم محمود على "/>
    <x v="0"/>
  </r>
  <r>
    <n v="59"/>
    <x v="0"/>
    <s v="احمد ايمن "/>
    <s v="العبور"/>
    <x v="5"/>
    <x v="0"/>
    <x v="1"/>
    <s v="2 ميكانزم"/>
    <m/>
    <m/>
    <x v="3"/>
    <m/>
    <s v="ترابيزه قهوه علويه جديده "/>
    <n v="10319"/>
    <s v="مسبق الدفع"/>
    <n v="45"/>
    <n v="35"/>
    <n v="10"/>
    <x v="1"/>
    <d v="2024-09-14T00:00:00"/>
    <d v="2024-10-29T00:00:00"/>
    <d v="2024-10-19T00:00:00"/>
    <s v="تم التسليم محمود على "/>
    <x v="0"/>
  </r>
  <r>
    <n v="60"/>
    <x v="0"/>
    <s v="مصطفي غنيم "/>
    <s v="اسيوط "/>
    <x v="8"/>
    <x v="0"/>
    <x v="0"/>
    <s v="دورين"/>
    <s v="كيفنج"/>
    <n v="120"/>
    <x v="4"/>
    <m/>
    <s v="سرير كيفنج دورين مقاس ١٢٠ رمادى "/>
    <n v="12999"/>
    <s v="مسبق الدفع "/>
    <n v="67"/>
    <n v="33"/>
    <n v="34"/>
    <x v="1"/>
    <d v="2024-09-14T00:00:00"/>
    <d v="2024-11-20T00:00:00"/>
    <d v="2024-10-17T00:00:00"/>
    <s v="تم التسليم عن طريق شركه شحن "/>
    <x v="0"/>
  </r>
  <r>
    <n v="61"/>
    <x v="0"/>
    <s v="حسام عبدون"/>
    <s v="الغردقه"/>
    <x v="2"/>
    <x v="0"/>
    <x v="2"/>
    <s v="4*1"/>
    <m/>
    <m/>
    <x v="1"/>
    <s v="رمادى"/>
    <s v="كنبه سرير ٤ حركه "/>
    <n v="21999"/>
    <s v="مسبق الدفع"/>
    <n v="67"/>
    <n v="0"/>
    <n v="67"/>
    <x v="1"/>
    <d v="2024-09-14T00:00:00"/>
    <d v="2024-11-20T00:00:00"/>
    <m/>
    <m/>
    <x v="1"/>
  </r>
  <r>
    <n v="62"/>
    <x v="0"/>
    <s v="رامى "/>
    <s v="الشروق"/>
    <x v="4"/>
    <x v="0"/>
    <x v="0"/>
    <s v="دورين"/>
    <s v="نوفال"/>
    <n v="100"/>
    <x v="4"/>
    <m/>
    <s v="سرير نوفال ١٠٠ رمادى "/>
    <n v="12399"/>
    <s v="مسبق الدفع"/>
    <n v="67"/>
    <n v="17"/>
    <n v="50"/>
    <x v="1"/>
    <d v="2024-09-14T00:00:00"/>
    <d v="2024-11-20T00:00:00"/>
    <d v="2024-10-01T00:00:00"/>
    <s v="تم التسليم عن طريق شركه شحن "/>
    <x v="0"/>
  </r>
  <r>
    <n v="63"/>
    <x v="0"/>
    <s v="رحاب"/>
    <s v="القاهره الجديده"/>
    <x v="4"/>
    <x v="0"/>
    <x v="2"/>
    <s v="4*1"/>
    <m/>
    <m/>
    <x v="1"/>
    <s v="رمادى"/>
    <s v="كنبه سرير ٤ حركه "/>
    <n v="21999"/>
    <s v="مسبق الدفع"/>
    <n v="67"/>
    <n v="25"/>
    <n v="42"/>
    <x v="1"/>
    <d v="2024-09-14T00:00:00"/>
    <d v="2024-11-20T00:00:00"/>
    <d v="2024-10-09T00:00:00"/>
    <s v="تم التسليم محمود على "/>
    <x v="0"/>
  </r>
  <r>
    <n v="64"/>
    <x v="0"/>
    <s v="فؤاد المنسي "/>
    <s v="المقطم "/>
    <x v="4"/>
    <x v="0"/>
    <x v="0"/>
    <s v="دورين"/>
    <s v="نوفال"/>
    <n v="80"/>
    <x v="0"/>
    <m/>
    <s v="سرير نوفال مقاس ٨٠ ابيض "/>
    <n v="10999"/>
    <s v="مسبق الدفع "/>
    <n v="67"/>
    <n v="32"/>
    <n v="35"/>
    <x v="1"/>
    <d v="2024-09-14T00:00:00"/>
    <d v="2024-11-20T00:00:00"/>
    <d v="2024-10-16T00:00:00"/>
    <s v="تم التسليم محمود على "/>
    <x v="0"/>
  </r>
  <r>
    <n v="65"/>
    <x v="0"/>
    <s v="mohannad"/>
    <s v="EL-Maadi"/>
    <x v="4"/>
    <x v="0"/>
    <x v="0"/>
    <s v="دورين"/>
    <s v="كيفنج"/>
    <n v="80"/>
    <x v="0"/>
    <m/>
    <m/>
    <n v="10999"/>
    <s v="مسبق الدفع "/>
    <n v="0"/>
    <n v="0"/>
    <n v="0"/>
    <x v="0"/>
    <m/>
    <d v="2024-11-20T00:00:00"/>
    <d v="2024-10-16T00:00:00"/>
    <s v="تم التسليم محمود على "/>
    <x v="0"/>
  </r>
  <r>
    <n v="66"/>
    <x v="0"/>
    <s v="mohannad"/>
    <s v="EL-Maadi"/>
    <x v="4"/>
    <x v="0"/>
    <x v="0"/>
    <s v="دورين"/>
    <s v="كيفنج"/>
    <n v="80"/>
    <x v="0"/>
    <m/>
    <m/>
    <n v="10999"/>
    <s v="مسبق الدفع "/>
    <n v="0"/>
    <n v="0"/>
    <n v="0"/>
    <x v="0"/>
    <m/>
    <d v="2024-11-20T00:00:00"/>
    <d v="2024-10-16T00:00:00"/>
    <s v="تم التسليم محمود على "/>
    <x v="0"/>
  </r>
  <r>
    <n v="67"/>
    <x v="0"/>
    <s v="Mohamed Ayman"/>
    <s v="Madinet Badr"/>
    <x v="4"/>
    <x v="0"/>
    <x v="2"/>
    <s v="4*1"/>
    <m/>
    <m/>
    <x v="1"/>
    <s v="رمادى"/>
    <m/>
    <n v="21999"/>
    <s v="مسبق الدفع "/>
    <n v="0"/>
    <n v="0"/>
    <n v="0"/>
    <x v="0"/>
    <m/>
    <d v="2024-11-20T00:00:00"/>
    <d v="2024-10-19T00:00:00"/>
    <s v="تم التسليم محمود على "/>
    <x v="0"/>
  </r>
  <r>
    <n v="68"/>
    <x v="0"/>
    <s v="اسامه"/>
    <s v="العين السخنه"/>
    <x v="7"/>
    <x v="0"/>
    <x v="1"/>
    <s v="2 ميكانزم"/>
    <m/>
    <m/>
    <x v="3"/>
    <m/>
    <m/>
    <n v="7849"/>
    <n v="6306"/>
    <n v="0"/>
    <n v="0"/>
    <n v="0"/>
    <x v="0"/>
    <m/>
    <d v="2024-10-30T00:00:00"/>
    <d v="2024-11-14T00:00:00"/>
    <s v="تم التسليم عن طريق شركه شحن "/>
    <x v="0"/>
  </r>
  <r>
    <n v="69"/>
    <x v="1"/>
    <s v="اوسكار راتن"/>
    <s v="المخزن ابو الغيط "/>
    <x v="5"/>
    <x v="4"/>
    <x v="0"/>
    <s v="دورين"/>
    <s v="كيفنج"/>
    <n v="80"/>
    <x v="0"/>
    <m/>
    <m/>
    <n v="5074"/>
    <s v="حساب شركه"/>
    <n v="14"/>
    <n v="21"/>
    <n v="-7"/>
    <x v="0"/>
    <d v="2024-09-21T00:00:00"/>
    <d v="2024-10-05T00:00:00"/>
    <d v="2024-10-12T00:00:00"/>
    <s v="تم التسليم محمود على "/>
    <x v="0"/>
  </r>
  <r>
    <n v="70"/>
    <x v="1"/>
    <s v="تاكى "/>
    <s v="العباسيه"/>
    <x v="4"/>
    <x v="3"/>
    <x v="0"/>
    <s v="دورين"/>
    <s v="كينج"/>
    <n v="100"/>
    <x v="7"/>
    <m/>
    <m/>
    <n v="6250"/>
    <s v="حساب شركه"/>
    <n v="15"/>
    <n v="24"/>
    <n v="-9"/>
    <x v="0"/>
    <d v="2024-09-23T00:00:00"/>
    <d v="2024-10-08T00:00:00"/>
    <d v="2024-10-17T00:00:00"/>
    <s v="تم التسليم محمود على "/>
    <x v="0"/>
  </r>
  <r>
    <n v="71"/>
    <x v="1"/>
    <s v="تاكى "/>
    <s v="العباسيه"/>
    <x v="4"/>
    <x v="3"/>
    <x v="0"/>
    <s v="دورين"/>
    <s v="كينج"/>
    <n v="100"/>
    <x v="7"/>
    <m/>
    <m/>
    <n v="6250"/>
    <s v="حساب شركه"/>
    <n v="15"/>
    <n v="24"/>
    <n v="-9"/>
    <x v="0"/>
    <d v="2024-09-23T00:00:00"/>
    <d v="2024-10-08T00:00:00"/>
    <d v="2024-10-17T00:00:00"/>
    <s v="تم التسليم محمود على "/>
    <x v="0"/>
  </r>
  <r>
    <n v="72"/>
    <x v="0"/>
    <s v="ولاء بدوى"/>
    <s v="العباسيه"/>
    <x v="4"/>
    <x v="0"/>
    <x v="0"/>
    <s v="فردى"/>
    <s v="فورجينا"/>
    <n v="120"/>
    <x v="0"/>
    <m/>
    <m/>
    <n v="8943"/>
    <n v="9033"/>
    <n v="45"/>
    <n v="14"/>
    <n v="31"/>
    <x v="1"/>
    <d v="2024-09-26T00:00:00"/>
    <d v="2024-11-10T00:00:00"/>
    <d v="2024-10-10T00:00:00"/>
    <s v="تم التسليم محمود على "/>
    <x v="0"/>
  </r>
  <r>
    <n v="73"/>
    <x v="0"/>
    <s v="عبد الرحمن يسري"/>
    <s v="اكتوبر الجيزه"/>
    <x v="2"/>
    <x v="0"/>
    <x v="1"/>
    <s v="رف سحاب"/>
    <m/>
    <m/>
    <x v="3"/>
    <m/>
    <m/>
    <n v="8349"/>
    <n v="8433"/>
    <n v="45"/>
    <n v="0"/>
    <n v="45"/>
    <x v="1"/>
    <d v="2024-09-26T00:00:00"/>
    <d v="2024-11-10T00:00:00"/>
    <m/>
    <m/>
    <x v="1"/>
  </r>
  <r>
    <n v="74"/>
    <x v="1"/>
    <s v="شيك هومز "/>
    <s v="التجمع"/>
    <x v="4"/>
    <x v="1"/>
    <x v="2"/>
    <s v="4×1"/>
    <m/>
    <m/>
    <x v="8"/>
    <s v="نبيتى "/>
    <m/>
    <n v="14950"/>
    <s v="مسبق الدفع"/>
    <n v="18"/>
    <n v="17"/>
    <n v="1"/>
    <x v="1"/>
    <d v="2024-09-26T00:00:00"/>
    <d v="2024-10-14T00:00:00"/>
    <d v="2024-10-13T00:00:00"/>
    <s v="تم التسليم محمود على "/>
    <x v="0"/>
  </r>
  <r>
    <n v="75"/>
    <x v="1"/>
    <s v="شيك هومز "/>
    <m/>
    <x v="2"/>
    <x v="1"/>
    <x v="0"/>
    <s v="دورين"/>
    <s v="كينج"/>
    <n v="100"/>
    <x v="9"/>
    <m/>
    <m/>
    <n v="9208"/>
    <n v="9608"/>
    <n v="18"/>
    <n v="0"/>
    <n v="18"/>
    <x v="1"/>
    <d v="2024-09-26T00:00:00"/>
    <d v="2024-10-14T00:00:00"/>
    <m/>
    <m/>
    <x v="1"/>
  </r>
  <r>
    <n v="76"/>
    <x v="1"/>
    <s v="شيك هومز "/>
    <m/>
    <x v="2"/>
    <x v="1"/>
    <x v="0"/>
    <s v="فردى"/>
    <s v="اسبانى"/>
    <n v="120"/>
    <x v="0"/>
    <m/>
    <m/>
    <n v="7433"/>
    <s v="مسبق الدفع"/>
    <n v="21"/>
    <n v="22"/>
    <n v="-1"/>
    <x v="0"/>
    <d v="2024-09-29T00:00:00"/>
    <d v="2024-10-20T00:00:00"/>
    <d v="2024-10-21T00:00:00"/>
    <s v="تم التسليم محمود على "/>
    <x v="0"/>
  </r>
  <r>
    <n v="77"/>
    <x v="1"/>
    <s v="اوسكار راتن"/>
    <s v="المخزن ابو الغيط "/>
    <x v="5"/>
    <x v="4"/>
    <x v="0"/>
    <s v="فردى"/>
    <s v="فورجينا"/>
    <n v="120"/>
    <x v="0"/>
    <m/>
    <m/>
    <n v="4020"/>
    <s v="حساب شركه"/>
    <n v="13"/>
    <n v="13"/>
    <n v="0"/>
    <x v="0"/>
    <d v="2024-09-29T00:00:00"/>
    <d v="2024-10-12T00:00:00"/>
    <d v="2024-10-12T00:00:00"/>
    <s v="تم التسليم محمود على "/>
    <x v="0"/>
  </r>
  <r>
    <n v="78"/>
    <x v="0"/>
    <s v="الحج محمد السويس"/>
    <s v="السويس "/>
    <x v="7"/>
    <x v="5"/>
    <x v="0"/>
    <s v="دورين"/>
    <s v="فانتاستك"/>
    <n v="100"/>
    <x v="7"/>
    <m/>
    <m/>
    <n v="8544.9054400000005"/>
    <m/>
    <n v="8"/>
    <n v="8"/>
    <n v="0"/>
    <x v="0"/>
    <d v="2024-10-01T00:00:00"/>
    <d v="2024-10-09T00:00:00"/>
    <d v="2024-10-09T00:00:00"/>
    <s v="تم التسليم بمعرفه الحج سيد "/>
    <x v="0"/>
  </r>
  <r>
    <n v="79"/>
    <x v="0"/>
    <s v="الحج محمد السويس"/>
    <s v="السويس "/>
    <x v="7"/>
    <x v="5"/>
    <x v="0"/>
    <s v="منطبق"/>
    <m/>
    <m/>
    <x v="1"/>
    <s v="بيج"/>
    <m/>
    <n v="4600"/>
    <m/>
    <n v="8"/>
    <n v="8"/>
    <n v="0"/>
    <x v="0"/>
    <d v="2024-10-01T00:00:00"/>
    <d v="2024-10-09T00:00:00"/>
    <d v="2024-10-09T00:00:00"/>
    <s v="تم التسليم بمعرفه الحج سيد "/>
    <x v="0"/>
  </r>
  <r>
    <n v="80"/>
    <x v="0"/>
    <s v="الحج محمد السويس"/>
    <s v="السويس "/>
    <x v="7"/>
    <x v="5"/>
    <x v="2"/>
    <s v="فنيسيا"/>
    <m/>
    <m/>
    <x v="1"/>
    <s v="ملون"/>
    <m/>
    <n v="10000"/>
    <m/>
    <n v="8"/>
    <n v="8"/>
    <n v="0"/>
    <x v="0"/>
    <d v="2024-10-01T00:00:00"/>
    <d v="2024-10-09T00:00:00"/>
    <d v="2024-10-09T00:00:00"/>
    <s v="تم التسليم بمعرفه الحج سيد "/>
    <x v="0"/>
  </r>
  <r>
    <n v="81"/>
    <x v="0"/>
    <s v="الحج محمد السويس"/>
    <s v="السويس "/>
    <x v="7"/>
    <x v="5"/>
    <x v="5"/>
    <m/>
    <m/>
    <m/>
    <x v="1"/>
    <s v="نبيتى "/>
    <m/>
    <n v="10000"/>
    <m/>
    <n v="8"/>
    <n v="8"/>
    <n v="0"/>
    <x v="0"/>
    <d v="2024-10-01T00:00:00"/>
    <d v="2024-10-09T00:00:00"/>
    <d v="2024-10-09T00:00:00"/>
    <s v="تم التسليم بمعرفه الحج سيد "/>
    <x v="0"/>
  </r>
  <r>
    <n v="82"/>
    <x v="0"/>
    <s v="عمرو الأسود"/>
    <s v="الزمالك"/>
    <x v="4"/>
    <x v="0"/>
    <x v="0"/>
    <s v="منطبق"/>
    <m/>
    <m/>
    <x v="1"/>
    <s v="اسود"/>
    <m/>
    <n v="8899"/>
    <n v="8988"/>
    <n v="45"/>
    <n v="0"/>
    <n v="45"/>
    <x v="1"/>
    <d v="2024-10-03T00:00:00"/>
    <d v="2024-11-17T00:00:00"/>
    <m/>
    <m/>
    <x v="0"/>
  </r>
  <r>
    <n v="83"/>
    <x v="1"/>
    <s v="شيك هومز "/>
    <s v="مخزن شيك هومز"/>
    <x v="2"/>
    <x v="1"/>
    <x v="2"/>
    <s v="4×1"/>
    <m/>
    <m/>
    <x v="9"/>
    <s v="بترولى "/>
    <m/>
    <n v="14550"/>
    <s v="مسبق الدفع"/>
    <n v="21"/>
    <n v="22"/>
    <n v="-1"/>
    <x v="0"/>
    <d v="2024-10-08T00:00:00"/>
    <d v="2024-10-29T00:00:00"/>
    <d v="2024-10-30T00:00:00"/>
    <s v="تم التسليم محمود على "/>
    <x v="0"/>
  </r>
  <r>
    <n v="84"/>
    <x v="1"/>
    <s v="شيك هومز "/>
    <s v="أكتوبر "/>
    <x v="0"/>
    <x v="1"/>
    <x v="2"/>
    <s v="4×1"/>
    <m/>
    <m/>
    <x v="9"/>
    <s v="بترولى "/>
    <m/>
    <n v="14550"/>
    <s v="مسبق الدفع"/>
    <n v="22"/>
    <n v="8"/>
    <n v="14"/>
    <x v="1"/>
    <d v="2024-10-07T00:00:00"/>
    <d v="2024-10-29T00:00:00"/>
    <d v="2024-10-15T00:00:00"/>
    <s v="تم التسليم محمود على "/>
    <x v="0"/>
  </r>
  <r>
    <n v="85"/>
    <x v="1"/>
    <s v="شيك هومز "/>
    <m/>
    <x v="2"/>
    <x v="1"/>
    <x v="2"/>
    <s v="4×1"/>
    <m/>
    <m/>
    <x v="9"/>
    <s v="نبيتى "/>
    <m/>
    <n v="14550"/>
    <n v="11495"/>
    <n v="21"/>
    <n v="23"/>
    <n v="-2"/>
    <x v="0"/>
    <d v="2024-10-10T00:00:00"/>
    <d v="2024-10-31T00:00:00"/>
    <d v="2024-11-02T00:00:00"/>
    <s v="تم التسليم محمود على "/>
    <x v="0"/>
  </r>
  <r>
    <n v="86"/>
    <x v="0"/>
    <s v="keira"/>
    <s v="القاهره الجديده "/>
    <x v="4"/>
    <x v="0"/>
    <x v="0"/>
    <s v="دورين"/>
    <s v="نوفال "/>
    <s v="١٤٠/١٠٠"/>
    <x v="10"/>
    <m/>
    <m/>
    <n v="12899"/>
    <n v="13028"/>
    <n v="65"/>
    <n v="20"/>
    <n v="45"/>
    <x v="1"/>
    <d v="2024-10-13T00:00:00"/>
    <d v="2024-12-17T00:00:00"/>
    <d v="2024-11-02T00:00:00"/>
    <s v="تم التسليم محمود على "/>
    <x v="0"/>
  </r>
  <r>
    <n v="87"/>
    <x v="0"/>
    <s v="tarek"/>
    <s v="مصر الجديده"/>
    <x v="4"/>
    <x v="0"/>
    <x v="0"/>
    <s v="دورين"/>
    <s v="كيفنج"/>
    <n v="80"/>
    <x v="0"/>
    <m/>
    <m/>
    <n v="10499"/>
    <s v="مسبق الدفع"/>
    <n v="64"/>
    <n v="5"/>
    <n v="59"/>
    <x v="1"/>
    <d v="2024-10-16T00:00:00"/>
    <d v="2024-12-19T00:00:00"/>
    <d v="2024-10-21T00:00:00"/>
    <s v="تم التسليم محمود على "/>
    <x v="0"/>
  </r>
  <r>
    <n v="89"/>
    <x v="0"/>
    <s v="reem"/>
    <s v="البطاش اسكندريه"/>
    <x v="1"/>
    <x v="0"/>
    <x v="0"/>
    <s v="دورين"/>
    <s v="نوفال"/>
    <s v="١٠٠/١٤٠"/>
    <x v="10"/>
    <m/>
    <m/>
    <n v="12899"/>
    <s v="مسبق الدفع"/>
    <n v="66"/>
    <n v="47"/>
    <n v="19"/>
    <x v="1"/>
    <d v="2024-10-17T00:00:00"/>
    <d v="2024-12-22T00:00:00"/>
    <d v="2024-12-03T00:00:00"/>
    <s v="تم التسليم عن طريق شركه شحن "/>
    <x v="0"/>
  </r>
  <r>
    <n v="90"/>
    <x v="0"/>
    <s v="هشام سامى"/>
    <s v="41 كومبوند جولدن جستس الدور 4 شقه 4"/>
    <x v="4"/>
    <x v="6"/>
    <x v="0"/>
    <s v="فردى"/>
    <s v="بلحه"/>
    <n v="140"/>
    <x v="8"/>
    <s v="بني"/>
    <m/>
    <n v="5135"/>
    <s v="مسبق الدفع"/>
    <n v="28"/>
    <n v="25"/>
    <n v="3"/>
    <x v="1"/>
    <d v="2024-10-20T00:00:00"/>
    <d v="2024-11-17T00:00:00"/>
    <d v="2024-11-14T00:00:00"/>
    <s v="تم التسليم محمود على "/>
    <x v="0"/>
  </r>
  <r>
    <n v="91"/>
    <x v="1"/>
    <s v="شيك هومز "/>
    <s v="اكتوبر الجيزه"/>
    <x v="0"/>
    <x v="1"/>
    <x v="0"/>
    <s v="دورين"/>
    <s v="فانتستيك"/>
    <n v="100"/>
    <x v="7"/>
    <m/>
    <m/>
    <n v="12777.5"/>
    <n v="11277.5"/>
    <n v="21"/>
    <n v="27"/>
    <n v="-6"/>
    <x v="0"/>
    <d v="2024-10-22T00:00:00"/>
    <d v="2024-11-12T00:00:00"/>
    <d v="2024-11-18T00:00:00"/>
    <s v="تم التسليم محمود على "/>
    <x v="0"/>
  </r>
  <r>
    <n v="92"/>
    <x v="1"/>
    <s v="شيك هومز "/>
    <s v="اكتوبر الجيزه"/>
    <x v="0"/>
    <x v="1"/>
    <x v="0"/>
    <s v="دورين"/>
    <s v="فانتستيك"/>
    <n v="100"/>
    <x v="7"/>
    <m/>
    <m/>
    <n v="12777.5"/>
    <n v="11277.5"/>
    <n v="21"/>
    <n v="27"/>
    <n v="-6"/>
    <x v="0"/>
    <d v="2024-10-22T00:00:00"/>
    <d v="2024-11-12T00:00:00"/>
    <d v="2024-11-18T00:00:00"/>
    <s v="تم التسليم محمود على "/>
    <x v="0"/>
  </r>
  <r>
    <n v="93"/>
    <x v="1"/>
    <s v="اوسكار راتن"/>
    <s v="المعرض مدينه نصر"/>
    <x v="2"/>
    <x v="4"/>
    <x v="0"/>
    <s v="دورين"/>
    <s v="فانتستيك"/>
    <n v="100"/>
    <x v="7"/>
    <m/>
    <m/>
    <n v="8544.91"/>
    <s v="حساب شركه"/>
    <n v="0"/>
    <n v="0"/>
    <n v="0"/>
    <x v="0"/>
    <d v="2024-10-22T00:00:00"/>
    <m/>
    <m/>
    <m/>
    <x v="1"/>
  </r>
  <r>
    <n v="94"/>
    <x v="0"/>
    <s v="فاطمه محمد"/>
    <s v="أكتوبر الجيزه"/>
    <x v="0"/>
    <x v="0"/>
    <x v="0"/>
    <s v="فردى"/>
    <s v="فورجينا"/>
    <n v="120"/>
    <x v="0"/>
    <m/>
    <m/>
    <n v="8943"/>
    <n v="9007.01"/>
    <n v="24"/>
    <n v="28"/>
    <n v="-4"/>
    <x v="0"/>
    <d v="2024-10-21T00:00:00"/>
    <d v="2024-11-14T00:00:00"/>
    <d v="2024-11-18T00:00:00"/>
    <s v="تم التسليم محمود على "/>
    <x v="0"/>
  </r>
  <r>
    <n v="95"/>
    <x v="1"/>
    <s v="شيك هومز "/>
    <m/>
    <x v="2"/>
    <x v="1"/>
    <x v="2"/>
    <s v="4×1"/>
    <m/>
    <m/>
    <x v="1"/>
    <m/>
    <m/>
    <n v="15516"/>
    <s v="مسبق الدفع"/>
    <n v="21"/>
    <n v="6"/>
    <n v="15"/>
    <x v="1"/>
    <d v="2024-10-24T00:00:00"/>
    <d v="2024-11-14T00:00:00"/>
    <d v="2024-10-30T00:00:00"/>
    <s v="تم التسليم محمود على "/>
    <x v="0"/>
  </r>
  <r>
    <n v="96"/>
    <x v="1"/>
    <s v="شيك هومز "/>
    <m/>
    <x v="2"/>
    <x v="1"/>
    <x v="0"/>
    <s v="دورين"/>
    <s v="كينج"/>
    <n v="100"/>
    <x v="1"/>
    <m/>
    <m/>
    <n v="10045"/>
    <n v="8879"/>
    <n v="21"/>
    <n v="0"/>
    <n v="21"/>
    <x v="1"/>
    <d v="2024-10-26T00:00:00"/>
    <d v="2024-11-16T00:00:00"/>
    <m/>
    <m/>
    <x v="1"/>
  </r>
  <r>
    <n v="97"/>
    <x v="0"/>
    <s v="ساره"/>
    <s v="الشيخ زايد اكتوبر"/>
    <x v="0"/>
    <x v="0"/>
    <x v="0"/>
    <s v="دورين"/>
    <s v="كينج"/>
    <n v="90"/>
    <x v="1"/>
    <m/>
    <m/>
    <n v="11649"/>
    <n v="11749"/>
    <n v="15"/>
    <n v="23"/>
    <n v="-8"/>
    <x v="0"/>
    <d v="2024-10-26T00:00:00"/>
    <d v="2024-11-10T00:00:00"/>
    <d v="2024-11-18T00:00:00"/>
    <s v="تم التسليم محمود على "/>
    <x v="0"/>
  </r>
  <r>
    <n v="98"/>
    <x v="0"/>
    <s v="ساره"/>
    <s v="الشيخ زايد اكتوبر"/>
    <x v="0"/>
    <x v="0"/>
    <x v="0"/>
    <s v="دورين"/>
    <s v="كينج"/>
    <n v="90"/>
    <x v="1"/>
    <m/>
    <m/>
    <n v="11649"/>
    <n v="11749"/>
    <n v="15"/>
    <n v="23"/>
    <n v="-8"/>
    <x v="0"/>
    <d v="2024-10-26T00:00:00"/>
    <d v="2024-11-10T00:00:00"/>
    <d v="2024-11-18T00:00:00"/>
    <s v="تم التسليم محمود على "/>
    <x v="0"/>
  </r>
  <r>
    <n v="99"/>
    <x v="1"/>
    <s v="بولا هومزمارت"/>
    <s v="المعادى"/>
    <x v="4"/>
    <x v="0"/>
    <x v="0"/>
    <s v="فردى"/>
    <s v="اسبانى"/>
    <n v="100"/>
    <x v="0"/>
    <m/>
    <m/>
    <n v="5100"/>
    <n v="4800"/>
    <n v="14"/>
    <n v="24"/>
    <n v="-10"/>
    <x v="0"/>
    <d v="2024-10-28T00:00:00"/>
    <d v="2024-11-11T00:00:00"/>
    <d v="2024-11-21T00:00:00"/>
    <s v="تم التسليم محمود على "/>
    <x v="0"/>
  </r>
  <r>
    <n v="100"/>
    <x v="1"/>
    <s v="بولا هومزمارت"/>
    <s v="المعادى"/>
    <x v="4"/>
    <x v="0"/>
    <x v="0"/>
    <s v="فردى"/>
    <s v="اسبانى"/>
    <n v="120"/>
    <x v="0"/>
    <m/>
    <m/>
    <n v="5300"/>
    <n v="4800"/>
    <n v="14"/>
    <n v="24"/>
    <n v="-10"/>
    <x v="0"/>
    <d v="2024-10-28T00:00:00"/>
    <d v="2024-11-11T00:00:00"/>
    <d v="2024-11-21T00:00:00"/>
    <s v="تم التسليم محمود على "/>
    <x v="0"/>
  </r>
  <r>
    <n v="101"/>
    <x v="0"/>
    <s v="محمد شكرى "/>
    <s v="مدينتى"/>
    <x v="4"/>
    <x v="0"/>
    <x v="0"/>
    <s v="دورين"/>
    <s v="كيفنج"/>
    <n v="80"/>
    <x v="0"/>
    <m/>
    <m/>
    <n v="12099"/>
    <s v="مسبق الدفع"/>
    <n v="15"/>
    <n v="16"/>
    <n v="-1"/>
    <x v="0"/>
    <d v="2024-11-11T00:00:00"/>
    <d v="2024-11-26T00:00:00"/>
    <d v="2024-11-27T00:00:00"/>
    <s v="تم التسليم محمود على "/>
    <x v="0"/>
  </r>
  <r>
    <n v="102"/>
    <x v="1"/>
    <s v="شيك هومز"/>
    <s v="مخزن شيك هومز"/>
    <x v="2"/>
    <x v="1"/>
    <x v="2"/>
    <s v="4×1"/>
    <s v="ارينا"/>
    <m/>
    <x v="9"/>
    <s v="بترولى "/>
    <m/>
    <n v="15872"/>
    <s v="مسبق"/>
    <n v="11"/>
    <n v="6"/>
    <n v="5"/>
    <x v="1"/>
    <d v="2024-11-08T00:00:00"/>
    <d v="2024-11-19T00:00:00"/>
    <d v="2024-11-14T00:00:00"/>
    <s v="تم التسليم محمود على "/>
    <x v="0"/>
  </r>
  <r>
    <n v="103"/>
    <x v="1"/>
    <s v="منزلى"/>
    <s v="التجمع الخامس"/>
    <x v="4"/>
    <x v="6"/>
    <x v="0"/>
    <s v="فردى"/>
    <s v="فورجينا"/>
    <n v="120"/>
    <x v="0"/>
    <m/>
    <m/>
    <n v="4520"/>
    <s v="حساب شركه"/>
    <n v="12"/>
    <n v="11"/>
    <n v="1"/>
    <x v="1"/>
    <d v="2024-11-10T00:00:00"/>
    <d v="2024-11-22T00:00:00"/>
    <d v="2024-11-21T00:00:00"/>
    <s v="تم التسليم محمود على "/>
    <x v="0"/>
  </r>
  <r>
    <n v="104"/>
    <x v="1"/>
    <s v="اوسكار راتن"/>
    <s v="المخزن ابو الغيط "/>
    <x v="5"/>
    <x v="4"/>
    <x v="0"/>
    <s v="دورين"/>
    <s v="كينج"/>
    <n v="90"/>
    <x v="1"/>
    <m/>
    <m/>
    <n v="5766"/>
    <s v="حساب شركه"/>
    <n v="14"/>
    <n v="13"/>
    <n v="1"/>
    <x v="1"/>
    <d v="2024-11-12T00:00:00"/>
    <d v="2024-11-26T00:00:00"/>
    <d v="2024-11-25T00:00:00"/>
    <s v="تم التسليم محمود على "/>
    <x v="0"/>
  </r>
  <r>
    <n v="105"/>
    <x v="0"/>
    <s v="حماده"/>
    <s v="المعادى"/>
    <x v="4"/>
    <x v="0"/>
    <x v="0"/>
    <s v="فردى"/>
    <s v="فورجينا"/>
    <n v="160"/>
    <x v="6"/>
    <m/>
    <m/>
    <n v="11395"/>
    <s v="مسبق الدفع"/>
    <n v="12"/>
    <n v="15"/>
    <n v="-3"/>
    <x v="0"/>
    <d v="2024-11-12T00:00:00"/>
    <d v="2024-11-24T00:00:00"/>
    <d v="2024-11-27T00:00:00"/>
    <s v="تم التسليم محمود على "/>
    <x v="0"/>
  </r>
  <r>
    <n v="106"/>
    <x v="0"/>
    <s v="صفاء عبد الباقي"/>
    <s v="التجمع الخامس"/>
    <x v="4"/>
    <x v="0"/>
    <x v="0"/>
    <s v="دورين"/>
    <s v="كينج "/>
    <n v="80"/>
    <x v="0"/>
    <m/>
    <m/>
    <n v="12919"/>
    <s v="مسبق الدفع"/>
    <n v="16"/>
    <n v="13"/>
    <n v="3"/>
    <x v="1"/>
    <d v="2024-11-14T00:00:00"/>
    <d v="2024-11-30T00:00:00"/>
    <d v="2024-11-27T00:00:00"/>
    <s v="تم التسليم محمود على "/>
    <x v="0"/>
  </r>
  <r>
    <n v="107"/>
    <x v="1"/>
    <s v="اوسكار راتن"/>
    <s v="المخزن ابو الغيط "/>
    <x v="5"/>
    <x v="4"/>
    <x v="0"/>
    <s v="دورين"/>
    <s v="نوفال"/>
    <n v="120"/>
    <x v="4"/>
    <m/>
    <m/>
    <n v="6376"/>
    <s v="حساب شركه"/>
    <n v="13"/>
    <n v="11"/>
    <n v="2"/>
    <x v="1"/>
    <d v="2024-11-14T00:00:00"/>
    <d v="2024-11-27T00:00:00"/>
    <d v="2024-11-25T00:00:00"/>
    <s v="تم التسليم محمود على "/>
    <x v="0"/>
  </r>
  <r>
    <n v="108"/>
    <x v="1"/>
    <s v="اوسكار راتن"/>
    <s v="المخزن ابو الغيط "/>
    <x v="5"/>
    <x v="4"/>
    <x v="0"/>
    <s v="دورين "/>
    <s v="نوفال"/>
    <n v="90"/>
    <x v="1"/>
    <m/>
    <m/>
    <n v="5294"/>
    <s v="حساب شركه"/>
    <n v="13"/>
    <n v="11"/>
    <n v="2"/>
    <x v="1"/>
    <d v="2024-11-14T00:00:00"/>
    <d v="2024-11-27T00:00:00"/>
    <d v="2024-11-25T00:00:00"/>
    <s v="تم التسليم محمود على "/>
    <x v="0"/>
  </r>
  <r>
    <n v="109"/>
    <x v="0"/>
    <s v="رندا العامرى "/>
    <s v="٦ اكتوبر الجيزه "/>
    <x v="0"/>
    <x v="7"/>
    <x v="0"/>
    <s v="دورين "/>
    <s v="كيفنج "/>
    <n v="80"/>
    <x v="0"/>
    <m/>
    <m/>
    <n v="7396"/>
    <s v="مسبق الدفع"/>
    <n v="11"/>
    <n v="9"/>
    <n v="2"/>
    <x v="1"/>
    <d v="2024-11-17T00:00:00"/>
    <d v="2024-11-28T00:00:00"/>
    <d v="2024-11-26T00:00:00"/>
    <s v="تم التسليم محمود على "/>
    <x v="0"/>
  </r>
  <r>
    <n v="110"/>
    <x v="0"/>
    <s v="ساره"/>
    <s v="٦ اكتوبر الجيزه"/>
    <x v="0"/>
    <x v="0"/>
    <x v="0"/>
    <s v="دورين"/>
    <s v="كينج"/>
    <n v="90"/>
    <x v="1"/>
    <m/>
    <m/>
    <n v="13439"/>
    <n v="13575"/>
    <n v="15"/>
    <n v="6"/>
    <n v="9"/>
    <x v="1"/>
    <d v="2024-11-20T00:00:00"/>
    <d v="2024-12-05T00:00:00"/>
    <d v="2024-11-26T00:00:00"/>
    <s v="تم التسليم محمود على "/>
    <x v="0"/>
  </r>
  <r>
    <n v="111"/>
    <x v="1"/>
    <s v="تاكى "/>
    <s v="العباسيه "/>
    <x v="4"/>
    <x v="3"/>
    <x v="0"/>
    <s v="فردى "/>
    <s v="امريكى"/>
    <n v="160"/>
    <x v="1"/>
    <m/>
    <m/>
    <n v="5100"/>
    <s v="حساب شركه"/>
    <n v="24"/>
    <n v="0"/>
    <n v="24"/>
    <x v="1"/>
    <d v="2024-11-14T00:00:00"/>
    <d v="2024-12-08T00:00:00"/>
    <m/>
    <m/>
    <x v="0"/>
  </r>
  <r>
    <n v="112"/>
    <x v="0"/>
    <s v="محمد حمدى"/>
    <s v="مصر الجديده"/>
    <x v="4"/>
    <x v="2"/>
    <x v="0"/>
    <s v="فردى"/>
    <s v="كوين "/>
    <n v="160"/>
    <x v="5"/>
    <s v="ابيض"/>
    <m/>
    <n v="6000"/>
    <n v="5800"/>
    <n v="10"/>
    <n v="5"/>
    <n v="5"/>
    <x v="1"/>
    <d v="2024-11-22T00:00:00"/>
    <d v="2024-12-02T00:00:00"/>
    <d v="2024-11-27T00:00:00"/>
    <s v="تم التسليم محمود على "/>
    <x v="0"/>
  </r>
  <r>
    <n v="113"/>
    <x v="0"/>
    <s v="بافلى هانى "/>
    <s v="شبرا "/>
    <x v="4"/>
    <x v="0"/>
    <x v="0"/>
    <s v="فردى "/>
    <s v="اسبانى "/>
    <n v="120"/>
    <x v="4"/>
    <m/>
    <m/>
    <n v="10885"/>
    <n v="7965"/>
    <n v="11"/>
    <n v="16"/>
    <n v="-5"/>
    <x v="0"/>
    <d v="2024-11-24T00:00:00"/>
    <d v="2024-12-05T00:00:00"/>
    <d v="2024-12-10T00:00:00"/>
    <s v="تم التسليم محمود على "/>
    <x v="0"/>
  </r>
  <r>
    <n v="114"/>
    <x v="1"/>
    <s v="تاكى "/>
    <s v="العباسيه "/>
    <x v="4"/>
    <x v="3"/>
    <x v="2"/>
    <s v="t1"/>
    <s v="t1"/>
    <m/>
    <x v="3"/>
    <m/>
    <m/>
    <n v="6000"/>
    <n v="6000"/>
    <n v="16"/>
    <n v="1"/>
    <n v="15"/>
    <x v="1"/>
    <d v="2024-11-19T00:00:00"/>
    <d v="2024-12-05T00:00:00"/>
    <d v="2024-11-20T00:00:00"/>
    <s v="تم التسليم م محمد "/>
    <x v="0"/>
  </r>
  <r>
    <n v="115"/>
    <x v="0"/>
    <s v="رنا ميلاد"/>
    <s v="جليم الإسكندرية "/>
    <x v="1"/>
    <x v="0"/>
    <x v="1"/>
    <m/>
    <s v="مكتبه"/>
    <m/>
    <x v="3"/>
    <m/>
    <m/>
    <n v="8449"/>
    <s v="مسبق الدفع"/>
    <n v="13"/>
    <n v="26"/>
    <n v="-13"/>
    <x v="0"/>
    <d v="2024-11-27T00:00:00"/>
    <d v="2024-12-10T00:00:00"/>
    <d v="2024-12-23T00:00:00"/>
    <s v="تم التسليم عن طريق شركه شحن "/>
    <x v="0"/>
  </r>
  <r>
    <n v="116"/>
    <x v="0"/>
    <s v="محمد ناجى"/>
    <s v="مدينه نصر "/>
    <x v="4"/>
    <x v="0"/>
    <x v="1"/>
    <s v="دوران "/>
    <s v="ميكانزم"/>
    <m/>
    <x v="0"/>
    <s v="ملون"/>
    <m/>
    <n v="10249"/>
    <n v="6211"/>
    <n v="13"/>
    <n v="22"/>
    <n v="-9"/>
    <x v="0"/>
    <d v="2024-11-27T00:00:00"/>
    <d v="2024-12-10T00:00:00"/>
    <d v="2024-12-19T00:00:00"/>
    <s v="تم التسليم محمود على "/>
    <x v="0"/>
  </r>
  <r>
    <n v="117"/>
    <x v="0"/>
    <s v="احمد عبد الستار"/>
    <s v="المندره اسكندريه"/>
    <x v="2"/>
    <x v="0"/>
    <x v="0"/>
    <s v="دورين"/>
    <s v="كيفنج"/>
    <n v="100"/>
    <x v="1"/>
    <m/>
    <m/>
    <n v="14905"/>
    <s v="مسبق الدفع"/>
    <n v="16"/>
    <n v="0"/>
    <n v="16"/>
    <x v="1"/>
    <d v="2024-11-29T00:00:00"/>
    <d v="2024-12-15T00:00:00"/>
    <m/>
    <s v="ملغى "/>
    <x v="1"/>
  </r>
  <r>
    <n v="118"/>
    <x v="0"/>
    <s v="نور "/>
    <s v="القاهره الجديده"/>
    <x v="2"/>
    <x v="0"/>
    <x v="1"/>
    <s v="دوران "/>
    <s v="ميكانزم"/>
    <m/>
    <x v="9"/>
    <s v="بني"/>
    <m/>
    <n v="10249"/>
    <s v="مسبق الدفع"/>
    <n v="12"/>
    <n v="0"/>
    <n v="12"/>
    <x v="1"/>
    <d v="2024-11-30T00:00:00"/>
    <d v="2024-12-12T00:00:00"/>
    <m/>
    <m/>
    <x v="1"/>
  </r>
  <r>
    <n v="119"/>
    <x v="0"/>
    <s v="نور"/>
    <s v="القاهره الجديده"/>
    <x v="2"/>
    <x v="0"/>
    <x v="1"/>
    <s v="رف سحاب"/>
    <m/>
    <m/>
    <x v="1"/>
    <s v="بني"/>
    <m/>
    <n v="9029"/>
    <s v="مسبق الدفع"/>
    <n v="12"/>
    <n v="0"/>
    <n v="12"/>
    <x v="1"/>
    <d v="2024-11-30T00:00:00"/>
    <d v="2024-12-12T00:00:00"/>
    <m/>
    <m/>
    <x v="1"/>
  </r>
  <r>
    <n v="120"/>
    <x v="0"/>
    <s v="تامر"/>
    <s v="العين السخنه"/>
    <x v="7"/>
    <x v="0"/>
    <x v="1"/>
    <s v="٢ ميكانزم"/>
    <m/>
    <m/>
    <x v="9"/>
    <s v="بيج "/>
    <m/>
    <n v="9029"/>
    <s v="مسبق الدفع"/>
    <n v="12"/>
    <n v="0"/>
    <n v="12"/>
    <x v="1"/>
    <d v="2024-11-30T00:00:00"/>
    <d v="2024-12-12T00:00:00"/>
    <m/>
    <m/>
    <x v="0"/>
  </r>
  <r>
    <n v="121"/>
    <x v="0"/>
    <s v="هناء اسامه"/>
    <s v="القطاميه"/>
    <x v="2"/>
    <x v="0"/>
    <x v="0"/>
    <s v="دورين "/>
    <s v="نوفال"/>
    <n v="80"/>
    <x v="0"/>
    <m/>
    <m/>
    <n v="12099"/>
    <s v="مسبق الدفع"/>
    <n v="15"/>
    <n v="0"/>
    <n v="15"/>
    <x v="1"/>
    <d v="2024-12-02T00:00:00"/>
    <d v="2024-12-17T00:00:00"/>
    <m/>
    <m/>
    <x v="1"/>
  </r>
  <r>
    <n v="122"/>
    <x v="1"/>
    <s v="اوسكار راتن"/>
    <s v="المخزن ابو الغيط "/>
    <x v="5"/>
    <x v="4"/>
    <x v="0"/>
    <s v="دورين "/>
    <s v="كيفنج "/>
    <n v="90"/>
    <x v="2"/>
    <m/>
    <m/>
    <n v="5217"/>
    <s v="حساب شركه"/>
    <n v="13"/>
    <n v="9"/>
    <n v="4"/>
    <x v="1"/>
    <d v="2024-12-01T00:00:00"/>
    <d v="2024-12-14T00:00:00"/>
    <d v="2024-12-10T00:00:00"/>
    <s v="تم التسليم محمود على "/>
    <x v="0"/>
  </r>
  <r>
    <n v="123"/>
    <x v="0"/>
    <s v="محمد عادل "/>
    <s v="العبور"/>
    <x v="5"/>
    <x v="0"/>
    <x v="0"/>
    <s v="منطبق"/>
    <m/>
    <m/>
    <x v="1"/>
    <s v="اسود"/>
    <m/>
    <n v="10249"/>
    <n v="6211"/>
    <n v="10"/>
    <n v="15"/>
    <n v="-5"/>
    <x v="0"/>
    <d v="2024-12-04T00:00:00"/>
    <d v="2024-12-14T00:00:00"/>
    <d v="2024-12-19T00:00:00"/>
    <s v="تم التسليم محمود على "/>
    <x v="0"/>
  </r>
  <r>
    <n v="124"/>
    <x v="0"/>
    <s v="مريم عنان"/>
    <s v="اب تاون كايرو التجمع "/>
    <x v="4"/>
    <x v="1"/>
    <x v="0"/>
    <s v="دورين"/>
    <s v="كينج"/>
    <m/>
    <x v="1"/>
    <m/>
    <m/>
    <n v="10445"/>
    <n v="7707"/>
    <n v="22"/>
    <n v="3"/>
    <n v="19"/>
    <x v="1"/>
    <d v="2024-12-09T00:00:00"/>
    <d v="2024-12-31T00:00:00"/>
    <d v="2024-12-12T00:00:00"/>
    <s v="تم التسليم محمود على "/>
    <x v="0"/>
  </r>
  <r>
    <n v="125"/>
    <x v="0"/>
    <s v="هبه عطيه "/>
    <s v="القاهره الجديده"/>
    <x v="4"/>
    <x v="0"/>
    <x v="1"/>
    <s v="دوران"/>
    <s v="ميكانزم"/>
    <m/>
    <x v="9"/>
    <s v="بني"/>
    <m/>
    <n v="11199"/>
    <n v="11257"/>
    <n v="12"/>
    <n v="7"/>
    <n v="5"/>
    <x v="1"/>
    <d v="2024-12-12T00:00:00"/>
    <d v="2024-12-24T00:00:00"/>
    <d v="2024-12-19T00:00:00"/>
    <s v="تم التسليم محمود على "/>
    <x v="0"/>
  </r>
  <r>
    <n v="126"/>
    <x v="0"/>
    <s v="حمدى ذكرى"/>
    <s v="٦ اكتوبر الجيزه"/>
    <x v="0"/>
    <x v="0"/>
    <x v="0"/>
    <s v="دورين"/>
    <s v="نوفال"/>
    <n v="80"/>
    <x v="1"/>
    <m/>
    <m/>
    <n v="13099"/>
    <n v="13231"/>
    <n v="16"/>
    <n v="17"/>
    <n v="-1"/>
    <x v="0"/>
    <d v="2024-12-12T00:00:00"/>
    <d v="2024-12-28T00:00:00"/>
    <d v="2024-12-29T00:00:00"/>
    <s v="تم التسليم محمود على "/>
    <x v="0"/>
  </r>
  <r>
    <n v="127"/>
    <x v="1"/>
    <s v="شيك هومز"/>
    <s v="مخزن شيك هومز"/>
    <x v="2"/>
    <x v="1"/>
    <x v="2"/>
    <s v="4×1"/>
    <s v="ارينا"/>
    <m/>
    <x v="9"/>
    <s v="ملون"/>
    <m/>
    <n v="8700"/>
    <s v="حساب شركه"/>
    <n v="22"/>
    <n v="15"/>
    <n v="7"/>
    <x v="1"/>
    <d v="2024-12-14T00:00:00"/>
    <d v="2025-01-05T00:00:00"/>
    <d v="2024-12-29T00:00:00"/>
    <s v="تم التسليم محمود على "/>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206C7CF-0F0E-4CEB-BB20-A310BDAF95B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0">
  <location ref="BB9:BC12" firstHeaderRow="1" firstDataRow="1" firstDataCol="1"/>
  <pivotFields count="24">
    <pivotField dataField="1" showAll="0"/>
    <pivotField axis="axisRow" showAll="0">
      <items count="3">
        <item x="0"/>
        <item x="1"/>
        <item t="default"/>
      </items>
    </pivotField>
    <pivotField showAll="0"/>
    <pivotField showAll="0"/>
    <pivotField showAll="0"/>
    <pivotField showAll="0">
      <items count="12">
        <item x="5"/>
        <item x="4"/>
        <item x="3"/>
        <item m="1" x="9"/>
        <item m="1" x="10"/>
        <item x="1"/>
        <item x="2"/>
        <item x="7"/>
        <item m="1" x="8"/>
        <item x="6"/>
        <item x="0"/>
        <item t="default"/>
      </items>
    </pivotField>
    <pivotField showAll="0">
      <items count="13">
        <item m="1" x="10"/>
        <item m="1" x="11"/>
        <item x="1"/>
        <item x="3"/>
        <item x="0"/>
        <item m="1" x="6"/>
        <item x="5"/>
        <item x="4"/>
        <item m="1" x="7"/>
        <item x="2"/>
        <item m="1" x="8"/>
        <item m="1" x="9"/>
        <item t="default"/>
      </items>
    </pivotField>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0" fld="0" subtotal="count" baseField="1" baseItem="0"/>
  </dataFields>
  <chartFormats count="5">
    <chartFormat chart="48" format="4" series="1">
      <pivotArea type="data" outline="0" fieldPosition="0">
        <references count="1">
          <reference field="4294967294" count="1" selected="0">
            <x v="0"/>
          </reference>
        </references>
      </pivotArea>
    </chartFormat>
    <chartFormat chart="48" format="5">
      <pivotArea type="data" outline="0" fieldPosition="0">
        <references count="2">
          <reference field="4294967294" count="1" selected="0">
            <x v="0"/>
          </reference>
          <reference field="1" count="1" selected="0">
            <x v="0"/>
          </reference>
        </references>
      </pivotArea>
    </chartFormat>
    <chartFormat chart="48" format="6">
      <pivotArea type="data" outline="0" fieldPosition="0">
        <references count="2">
          <reference field="4294967294" count="1" selected="0">
            <x v="0"/>
          </reference>
          <reference field="1" count="1" selected="0">
            <x v="1"/>
          </reference>
        </references>
      </pivotArea>
    </chartFormat>
    <chartFormat chart="43" format="1" series="1">
      <pivotArea type="data" outline="0" fieldPosition="0">
        <references count="1">
          <reference field="4294967294" count="1" selected="0">
            <x v="0"/>
          </reference>
        </references>
      </pivotArea>
    </chartFormat>
    <chartFormat chart="3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0A70C0-409C-4DBF-A1AD-8B35DD97BA0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7:F8" firstHeaderRow="1" firstDataRow="1" firstDataCol="0" rowPageCount="1" colPageCount="1"/>
  <pivotFields count="24">
    <pivotField dataField="1" showAll="0"/>
    <pivotField showAll="0">
      <items count="3">
        <item x="0"/>
        <item x="1"/>
        <item t="default"/>
      </items>
    </pivotField>
    <pivotField showAll="0"/>
    <pivotField showAll="0"/>
    <pivotField showAll="0"/>
    <pivotField showAll="0">
      <items count="12">
        <item x="5"/>
        <item x="4"/>
        <item x="3"/>
        <item m="1" x="9"/>
        <item m="1" x="10"/>
        <item x="1"/>
        <item x="2"/>
        <item x="7"/>
        <item m="1" x="8"/>
        <item x="6"/>
        <item x="0"/>
        <item t="default"/>
      </items>
    </pivotField>
    <pivotField showAll="0">
      <items count="13">
        <item m="1" x="10"/>
        <item m="1" x="11"/>
        <item x="1"/>
        <item x="3"/>
        <item x="0"/>
        <item m="1" x="6"/>
        <item x="5"/>
        <item x="4"/>
        <item m="1" x="7"/>
        <item x="2"/>
        <item m="1" x="8"/>
        <item m="1"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Page" showAll="0">
      <items count="7">
        <item x="0"/>
        <item m="1" x="3"/>
        <item x="2"/>
        <item m="1" x="5"/>
        <item x="1"/>
        <item m="1" x="4"/>
        <item t="default"/>
      </items>
    </pivotField>
  </pivotFields>
  <rowItems count="1">
    <i/>
  </rowItems>
  <colItems count="1">
    <i/>
  </colItems>
  <pageFields count="1">
    <pageField fld="23" item="0" hier="-1"/>
  </pageFields>
  <dataFields count="1">
    <dataField name="Count of 0"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A15E61-3497-4ADF-98D9-72F70D21D2A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W8:X15" firstHeaderRow="1" firstDataRow="1" firstDataCol="1" rowPageCount="1" colPageCount="1"/>
  <pivotFields count="24">
    <pivotField showAll="0"/>
    <pivotField showAll="0">
      <items count="3">
        <item x="0"/>
        <item x="1"/>
        <item t="default"/>
      </items>
    </pivotField>
    <pivotField showAll="0"/>
    <pivotField showAll="0"/>
    <pivotField showAll="0"/>
    <pivotField showAll="0">
      <items count="12">
        <item x="5"/>
        <item x="4"/>
        <item x="3"/>
        <item m="1" x="9"/>
        <item m="1" x="10"/>
        <item x="1"/>
        <item x="2"/>
        <item x="7"/>
        <item m="1" x="8"/>
        <item x="6"/>
        <item x="0"/>
        <item t="default"/>
      </items>
    </pivotField>
    <pivotField axis="axisRow" dataField="1" showAll="0" sortType="descending">
      <items count="13">
        <item x="1"/>
        <item x="3"/>
        <item x="0"/>
        <item x="5"/>
        <item x="4"/>
        <item x="2"/>
        <item m="1" x="7"/>
        <item m="1" x="8"/>
        <item m="1" x="9"/>
        <item m="1" x="6"/>
        <item m="1" x="10"/>
        <item m="1" x="1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axis="axisPage" showAll="0">
      <items count="7">
        <item x="0"/>
        <item m="1" x="3"/>
        <item x="2"/>
        <item m="1" x="5"/>
        <item x="1"/>
        <item m="1" x="4"/>
        <item t="default"/>
      </items>
    </pivotField>
  </pivotFields>
  <rowFields count="1">
    <field x="6"/>
  </rowFields>
  <rowItems count="7">
    <i>
      <x v="2"/>
    </i>
    <i>
      <x v="5"/>
    </i>
    <i>
      <x/>
    </i>
    <i>
      <x v="4"/>
    </i>
    <i>
      <x v="1"/>
    </i>
    <i>
      <x v="3"/>
    </i>
    <i t="grand">
      <x/>
    </i>
  </rowItems>
  <colItems count="1">
    <i/>
  </colItems>
  <pageFields count="1">
    <pageField fld="23" item="0" hier="-1"/>
  </pageFields>
  <dataFields count="1">
    <dataField name="Count of منتج" fld="6" subtotal="count" baseField="0" baseItem="0"/>
  </dataFields>
  <formats count="2">
    <format dxfId="217">
      <pivotArea collapsedLevelsAreSubtotals="1" fieldPosition="0">
        <references count="1">
          <reference field="6" count="1">
            <x v="2"/>
          </reference>
        </references>
      </pivotArea>
    </format>
    <format dxfId="216">
      <pivotArea dataOnly="0" labelOnly="1" fieldPosition="0">
        <references count="1">
          <reference field="6" count="1">
            <x v="2"/>
          </reference>
        </references>
      </pivotArea>
    </format>
  </formats>
  <chartFormats count="7">
    <chartFormat chart="19" format="8" series="1">
      <pivotArea type="data" outline="0" fieldPosition="0">
        <references count="1">
          <reference field="4294967294" count="1" selected="0">
            <x v="0"/>
          </reference>
        </references>
      </pivotArea>
    </chartFormat>
    <chartFormat chart="19" format="9">
      <pivotArea type="data" outline="0" fieldPosition="0">
        <references count="2">
          <reference field="4294967294" count="1" selected="0">
            <x v="0"/>
          </reference>
          <reference field="6" count="1" selected="0">
            <x v="2"/>
          </reference>
        </references>
      </pivotArea>
    </chartFormat>
    <chartFormat chart="19" format="10">
      <pivotArea type="data" outline="0" fieldPosition="0">
        <references count="2">
          <reference field="4294967294" count="1" selected="0">
            <x v="0"/>
          </reference>
          <reference field="6" count="1" selected="0">
            <x v="5"/>
          </reference>
        </references>
      </pivotArea>
    </chartFormat>
    <chartFormat chart="19" format="11">
      <pivotArea type="data" outline="0" fieldPosition="0">
        <references count="2">
          <reference field="4294967294" count="1" selected="0">
            <x v="0"/>
          </reference>
          <reference field="6" count="1" selected="0">
            <x v="0"/>
          </reference>
        </references>
      </pivotArea>
    </chartFormat>
    <chartFormat chart="19" format="12">
      <pivotArea type="data" outline="0" fieldPosition="0">
        <references count="2">
          <reference field="4294967294" count="1" selected="0">
            <x v="0"/>
          </reference>
          <reference field="6" count="1" selected="0">
            <x v="4"/>
          </reference>
        </references>
      </pivotArea>
    </chartFormat>
    <chartFormat chart="19" format="13">
      <pivotArea type="data" outline="0" fieldPosition="0">
        <references count="2">
          <reference field="4294967294" count="1" selected="0">
            <x v="0"/>
          </reference>
          <reference field="6" count="1" selected="0">
            <x v="1"/>
          </reference>
        </references>
      </pivotArea>
    </chartFormat>
    <chartFormat chart="19" format="14">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223B5B-7C17-4B13-BB8C-EE54FB49D35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I8:AJ11" firstHeaderRow="1" firstDataRow="1" firstDataCol="1" rowPageCount="1" colPageCount="1"/>
  <pivotFields count="24">
    <pivotField showAll="0"/>
    <pivotField showAll="0">
      <items count="3">
        <item x="0"/>
        <item x="1"/>
        <item t="default"/>
      </items>
    </pivotField>
    <pivotField showAll="0"/>
    <pivotField showAll="0"/>
    <pivotField showAll="0"/>
    <pivotField showAll="0">
      <items count="12">
        <item x="5"/>
        <item x="4"/>
        <item x="3"/>
        <item m="1" x="9"/>
        <item m="1" x="10"/>
        <item x="1"/>
        <item x="2"/>
        <item x="7"/>
        <item m="1" x="8"/>
        <item x="6"/>
        <item x="0"/>
        <item t="default"/>
      </items>
    </pivotField>
    <pivotField showAll="0">
      <items count="13">
        <item m="1" x="10"/>
        <item m="1" x="11"/>
        <item x="1"/>
        <item x="3"/>
        <item x="0"/>
        <item m="1" x="6"/>
        <item x="5"/>
        <item x="4"/>
        <item m="1" x="7"/>
        <item x="2"/>
        <item m="1" x="8"/>
        <item m="1" x="9"/>
        <item t="default"/>
      </items>
    </pivotField>
    <pivotField showAll="0"/>
    <pivotField showAll="0"/>
    <pivotField showAll="0"/>
    <pivotField showAll="0"/>
    <pivotField showAll="0"/>
    <pivotField showAll="0"/>
    <pivotField numFmtId="164" showAll="0"/>
    <pivotField showAll="0"/>
    <pivotField showAll="0"/>
    <pivotField showAll="0"/>
    <pivotField showAll="0"/>
    <pivotField axis="axisRow" dataField="1" showAll="0">
      <items count="3">
        <item x="0"/>
        <item x="1"/>
        <item t="default"/>
      </items>
    </pivotField>
    <pivotField showAll="0"/>
    <pivotField showAll="0"/>
    <pivotField showAll="0"/>
    <pivotField showAll="0"/>
    <pivotField axis="axisPage" showAll="0">
      <items count="7">
        <item x="0"/>
        <item m="1" x="3"/>
        <item x="2"/>
        <item m="1" x="5"/>
        <item x="1"/>
        <item m="1" x="4"/>
        <item t="default"/>
      </items>
    </pivotField>
  </pivotFields>
  <rowFields count="1">
    <field x="18"/>
  </rowFields>
  <rowItems count="3">
    <i>
      <x/>
    </i>
    <i>
      <x v="1"/>
    </i>
    <i t="grand">
      <x/>
    </i>
  </rowItems>
  <colItems count="1">
    <i/>
  </colItems>
  <pageFields count="1">
    <pageField fld="23" item="0" hier="-1"/>
  </pageFields>
  <dataFields count="1">
    <dataField name="Count of Column2" fld="18" subtotal="count" showDataAs="percentOfTotal" baseField="18" baseItem="0" numFmtId="10"/>
  </dataFields>
  <formats count="2">
    <format dxfId="219">
      <pivotArea collapsedLevelsAreSubtotals="1" fieldPosition="0">
        <references count="1">
          <reference field="18" count="1">
            <x v="1"/>
          </reference>
        </references>
      </pivotArea>
    </format>
    <format dxfId="218">
      <pivotArea dataOnly="0" labelOnly="1" fieldPosition="0">
        <references count="1">
          <reference field="18"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272A64-AA64-428D-B6CC-890442AA503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P8:AQ12" firstHeaderRow="1" firstDataRow="1" firstDataCol="1"/>
  <pivotFields count="24">
    <pivotField showAll="0"/>
    <pivotField showAll="0">
      <items count="3">
        <item x="0"/>
        <item x="1"/>
        <item t="default"/>
      </items>
    </pivotField>
    <pivotField showAll="0"/>
    <pivotField showAll="0"/>
    <pivotField showAll="0"/>
    <pivotField showAll="0">
      <items count="12">
        <item x="5"/>
        <item x="4"/>
        <item x="3"/>
        <item m="1" x="9"/>
        <item m="1" x="10"/>
        <item x="1"/>
        <item x="2"/>
        <item x="7"/>
        <item m="1" x="8"/>
        <item x="6"/>
        <item x="0"/>
        <item t="default"/>
      </items>
    </pivotField>
    <pivotField showAll="0">
      <items count="13">
        <item m="1" x="10"/>
        <item m="1" x="11"/>
        <item x="1"/>
        <item x="3"/>
        <item x="0"/>
        <item m="1" x="6"/>
        <item x="5"/>
        <item x="4"/>
        <item m="1" x="7"/>
        <item x="2"/>
        <item m="1" x="8"/>
        <item m="1" x="9"/>
        <item t="default"/>
      </items>
    </pivotField>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axis="axisRow" dataField="1" showAll="0">
      <items count="7">
        <item x="0"/>
        <item m="1" x="3"/>
        <item x="2"/>
        <item m="1" x="5"/>
        <item x="1"/>
        <item m="1" x="4"/>
        <item t="default"/>
      </items>
    </pivotField>
  </pivotFields>
  <rowFields count="1">
    <field x="23"/>
  </rowFields>
  <rowItems count="4">
    <i>
      <x/>
    </i>
    <i>
      <x v="2"/>
    </i>
    <i>
      <x v="4"/>
    </i>
    <i t="grand">
      <x/>
    </i>
  </rowItems>
  <colItems count="1">
    <i/>
  </colItems>
  <dataFields count="1">
    <dataField name="Count of الحالة" fld="23" subtotal="count" showDataAs="percentOfTotal" baseField="18" baseItem="4" numFmtId="10"/>
  </dataFields>
  <formats count="2">
    <format dxfId="221">
      <pivotArea collapsedLevelsAreSubtotals="1" fieldPosition="0">
        <references count="1">
          <reference field="23" count="1">
            <x v="4"/>
          </reference>
        </references>
      </pivotArea>
    </format>
    <format dxfId="220">
      <pivotArea dataOnly="0" labelOnly="1" fieldPosition="0">
        <references count="1">
          <reference field="23" count="1">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6EF07F5-183D-46C9-A15A-5F03BB161D0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rowPageCount="1" colPageCount="1"/>
  <pivotFields count="24">
    <pivotField showAll="0"/>
    <pivotField showAll="0">
      <items count="3">
        <item x="0"/>
        <item x="1"/>
        <item t="default"/>
      </items>
    </pivotField>
    <pivotField showAll="0"/>
    <pivotField showAll="0"/>
    <pivotField showAll="0"/>
    <pivotField showAll="0">
      <items count="12">
        <item x="5"/>
        <item x="4"/>
        <item x="3"/>
        <item m="1" x="9"/>
        <item m="1" x="10"/>
        <item x="1"/>
        <item x="2"/>
        <item x="7"/>
        <item m="1" x="8"/>
        <item x="6"/>
        <item x="0"/>
        <item t="default"/>
      </items>
    </pivotField>
    <pivotField showAll="0">
      <items count="13">
        <item m="1" x="10"/>
        <item m="1" x="11"/>
        <item x="1"/>
        <item x="3"/>
        <item x="0"/>
        <item m="1" x="6"/>
        <item x="5"/>
        <item x="4"/>
        <item m="1" x="7"/>
        <item x="2"/>
        <item m="1" x="8"/>
        <item m="1" x="9"/>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axis="axisPage" showAll="0">
      <items count="7">
        <item x="0"/>
        <item m="1" x="3"/>
        <item x="2"/>
        <item m="1" x="5"/>
        <item x="1"/>
        <item m="1" x="4"/>
        <item t="default"/>
      </items>
    </pivotField>
  </pivotFields>
  <rowItems count="1">
    <i/>
  </rowItems>
  <colItems count="1">
    <i/>
  </colItems>
  <pageFields count="1">
    <pageField fld="23" item="0" hier="-1"/>
  </pageFields>
  <dataFields count="1">
    <dataField name="Sum of سعر البيع " fld="13" baseField="0" baseItem="0" numFmtId="164"/>
  </dataFields>
  <formats count="1">
    <format dxfId="22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C96E44D-A093-4D6C-9227-A80BF5BE4BC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5">
  <location ref="Q7:R16" firstHeaderRow="1" firstDataRow="1" firstDataCol="1" rowPageCount="1" colPageCount="1"/>
  <pivotFields count="24">
    <pivotField showAll="0"/>
    <pivotField showAll="0">
      <items count="3">
        <item x="0"/>
        <item x="1"/>
        <item t="default"/>
      </items>
    </pivotField>
    <pivotField showAll="0"/>
    <pivotField showAll="0"/>
    <pivotField showAll="0"/>
    <pivotField axis="axisRow" showAll="0" sortType="descending">
      <items count="12">
        <item x="5"/>
        <item x="4"/>
        <item x="3"/>
        <item x="1"/>
        <item x="2"/>
        <item x="7"/>
        <item x="6"/>
        <item x="0"/>
        <item m="1" x="9"/>
        <item m="1" x="10"/>
        <item m="1" x="8"/>
        <item t="default"/>
      </items>
      <autoSortScope>
        <pivotArea dataOnly="0" outline="0" fieldPosition="0">
          <references count="1">
            <reference field="4294967294" count="1" selected="0">
              <x v="0"/>
            </reference>
          </references>
        </pivotArea>
      </autoSortScope>
    </pivotField>
    <pivotField showAll="0">
      <items count="13">
        <item m="1" x="10"/>
        <item m="1" x="11"/>
        <item x="1"/>
        <item x="3"/>
        <item x="0"/>
        <item m="1" x="6"/>
        <item x="5"/>
        <item x="4"/>
        <item m="1" x="7"/>
        <item x="2"/>
        <item m="1" x="8"/>
        <item m="1" x="9"/>
        <item t="default"/>
      </items>
    </pivotField>
    <pivotField showAll="0"/>
    <pivotField showAll="0"/>
    <pivotField showAll="0"/>
    <pivotField showAll="0"/>
    <pivotField showAll="0"/>
    <pivotField showAll="0"/>
    <pivotField dataField="1" numFmtId="164" showAll="0"/>
    <pivotField showAll="0"/>
    <pivotField showAll="0"/>
    <pivotField showAll="0"/>
    <pivotField showAll="0"/>
    <pivotField showAll="0"/>
    <pivotField showAll="0"/>
    <pivotField showAll="0"/>
    <pivotField showAll="0"/>
    <pivotField showAll="0"/>
    <pivotField axis="axisPage" multipleItemSelectionAllowed="1" showAll="0">
      <items count="7">
        <item x="0"/>
        <item h="1" m="1" x="3"/>
        <item h="1" x="2"/>
        <item h="1" m="1" x="5"/>
        <item h="1" x="1"/>
        <item h="1" m="1" x="4"/>
        <item t="default"/>
      </items>
    </pivotField>
  </pivotFields>
  <rowFields count="1">
    <field x="5"/>
  </rowFields>
  <rowItems count="9">
    <i>
      <x v="7"/>
    </i>
    <i>
      <x v="3"/>
    </i>
    <i>
      <x v="2"/>
    </i>
    <i>
      <x v="1"/>
    </i>
    <i>
      <x/>
    </i>
    <i>
      <x v="4"/>
    </i>
    <i>
      <x v="6"/>
    </i>
    <i>
      <x v="5"/>
    </i>
    <i t="grand">
      <x/>
    </i>
  </rowItems>
  <colItems count="1">
    <i/>
  </colItems>
  <pageFields count="1">
    <pageField fld="23" hier="-1"/>
  </pageFields>
  <dataFields count="1">
    <dataField name="Sum of سعر البيع " fld="13" baseField="0" baseItem="0" numFmtId="164"/>
  </dataFields>
  <formats count="1">
    <format dxfId="223">
      <pivotArea outline="0" collapsedLevelsAreSubtotals="1" fieldPosition="0"/>
    </format>
  </formats>
  <chartFormats count="1">
    <chartFormat chart="4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88E981B-2CC5-4509-A573-C061C987D6A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C8:AD19" firstHeaderRow="1" firstDataRow="1" firstDataCol="1" rowPageCount="1" colPageCount="1"/>
  <pivotFields count="24">
    <pivotField showAll="0"/>
    <pivotField showAll="0">
      <items count="3">
        <item x="0"/>
        <item x="1"/>
        <item t="default"/>
      </items>
    </pivotField>
    <pivotField showAll="0"/>
    <pivotField showAll="0"/>
    <pivotField showAll="0"/>
    <pivotField showAll="0">
      <items count="12">
        <item x="5"/>
        <item x="4"/>
        <item x="3"/>
        <item m="1" x="9"/>
        <item m="1" x="10"/>
        <item x="1"/>
        <item x="2"/>
        <item x="7"/>
        <item m="1" x="8"/>
        <item x="6"/>
        <item x="0"/>
        <item t="default"/>
      </items>
    </pivotField>
    <pivotField showAll="0">
      <items count="13">
        <item m="1" x="10"/>
        <item m="1" x="11"/>
        <item x="1"/>
        <item x="3"/>
        <item x="0"/>
        <item m="1" x="6"/>
        <item x="5"/>
        <item x="4"/>
        <item m="1" x="7"/>
        <item x="2"/>
        <item m="1" x="8"/>
        <item m="1" x="9"/>
        <item t="default"/>
      </items>
    </pivotField>
    <pivotField showAll="0"/>
    <pivotField showAll="0"/>
    <pivotField showAll="0"/>
    <pivotField axis="axisRow" showAll="0" sortType="descending">
      <items count="15">
        <item x="0"/>
        <item x="2"/>
        <item x="1"/>
        <item x="6"/>
        <item x="10"/>
        <item x="5"/>
        <item x="4"/>
        <item x="7"/>
        <item x="8"/>
        <item h="1" m="1" x="11"/>
        <item m="1" x="12"/>
        <item x="9"/>
        <item m="1" x="13"/>
        <item h="1" x="3"/>
        <item t="default"/>
      </items>
      <autoSortScope>
        <pivotArea dataOnly="0" outline="0" fieldPosition="0">
          <references count="1">
            <reference field="4294967294" count="1" selected="0">
              <x v="0"/>
            </reference>
          </references>
        </pivotArea>
      </autoSortScope>
    </pivotField>
    <pivotField showAll="0"/>
    <pivotField showAll="0"/>
    <pivotField numFmtId="164" showAll="0"/>
    <pivotField showAll="0"/>
    <pivotField showAll="0"/>
    <pivotField showAll="0"/>
    <pivotField showAll="0"/>
    <pivotField showAll="0"/>
    <pivotField showAll="0"/>
    <pivotField showAll="0"/>
    <pivotField showAll="0"/>
    <pivotField showAll="0"/>
    <pivotField axis="axisPage" dataField="1" showAll="0">
      <items count="7">
        <item x="0"/>
        <item m="1" x="3"/>
        <item x="2"/>
        <item m="1" x="5"/>
        <item x="1"/>
        <item m="1" x="4"/>
        <item t="default"/>
      </items>
    </pivotField>
  </pivotFields>
  <rowFields count="1">
    <field x="10"/>
  </rowFields>
  <rowItems count="11">
    <i>
      <x/>
    </i>
    <i>
      <x v="2"/>
    </i>
    <i>
      <x v="6"/>
    </i>
    <i>
      <x v="11"/>
    </i>
    <i>
      <x v="7"/>
    </i>
    <i>
      <x v="1"/>
    </i>
    <i>
      <x v="8"/>
    </i>
    <i>
      <x v="5"/>
    </i>
    <i>
      <x v="3"/>
    </i>
    <i>
      <x v="4"/>
    </i>
    <i t="grand">
      <x/>
    </i>
  </rowItems>
  <colItems count="1">
    <i/>
  </colItems>
  <pageFields count="1">
    <pageField fld="23" item="0" hier="-1"/>
  </pageFields>
  <dataFields count="1">
    <dataField name="Count of الحالة" fld="23" subtotal="count" baseField="0" baseItem="0"/>
  </dataFields>
  <formats count="2">
    <format dxfId="225">
      <pivotArea collapsedLevelsAreSubtotals="1" fieldPosition="0">
        <references count="1">
          <reference field="10" count="1">
            <x v="0"/>
          </reference>
        </references>
      </pivotArea>
    </format>
    <format dxfId="224">
      <pivotArea dataOnly="0" labelOnly="1" fieldPosition="0">
        <references count="1">
          <reference field="10" count="1">
            <x v="0"/>
          </reference>
        </references>
      </pivotArea>
    </format>
  </formats>
  <chartFormats count="12">
    <chartFormat chart="17" format="2" series="1">
      <pivotArea type="data" outline="0" fieldPosition="0">
        <references count="1">
          <reference field="4294967294" count="1" selected="0">
            <x v="0"/>
          </reference>
        </references>
      </pivotArea>
    </chartFormat>
    <chartFormat chart="17" format="3">
      <pivotArea type="data" outline="0" fieldPosition="0">
        <references count="2">
          <reference field="4294967294" count="1" selected="0">
            <x v="0"/>
          </reference>
          <reference field="10" count="1" selected="0">
            <x v="0"/>
          </reference>
        </references>
      </pivotArea>
    </chartFormat>
    <chartFormat chart="17" format="4">
      <pivotArea type="data" outline="0" fieldPosition="0">
        <references count="2">
          <reference field="4294967294" count="1" selected="0">
            <x v="0"/>
          </reference>
          <reference field="10" count="1" selected="0">
            <x v="2"/>
          </reference>
        </references>
      </pivotArea>
    </chartFormat>
    <chartFormat chart="17" format="5">
      <pivotArea type="data" outline="0" fieldPosition="0">
        <references count="2">
          <reference field="4294967294" count="1" selected="0">
            <x v="0"/>
          </reference>
          <reference field="10" count="1" selected="0">
            <x v="13"/>
          </reference>
        </references>
      </pivotArea>
    </chartFormat>
    <chartFormat chart="17" format="6">
      <pivotArea type="data" outline="0" fieldPosition="0">
        <references count="2">
          <reference field="4294967294" count="1" selected="0">
            <x v="0"/>
          </reference>
          <reference field="10" count="1" selected="0">
            <x v="6"/>
          </reference>
        </references>
      </pivotArea>
    </chartFormat>
    <chartFormat chart="17" format="7">
      <pivotArea type="data" outline="0" fieldPosition="0">
        <references count="2">
          <reference field="4294967294" count="1" selected="0">
            <x v="0"/>
          </reference>
          <reference field="10" count="1" selected="0">
            <x v="11"/>
          </reference>
        </references>
      </pivotArea>
    </chartFormat>
    <chartFormat chart="17" format="8">
      <pivotArea type="data" outline="0" fieldPosition="0">
        <references count="2">
          <reference field="4294967294" count="1" selected="0">
            <x v="0"/>
          </reference>
          <reference field="10" count="1" selected="0">
            <x v="7"/>
          </reference>
        </references>
      </pivotArea>
    </chartFormat>
    <chartFormat chart="17" format="9">
      <pivotArea type="data" outline="0" fieldPosition="0">
        <references count="2">
          <reference field="4294967294" count="1" selected="0">
            <x v="0"/>
          </reference>
          <reference field="10" count="1" selected="0">
            <x v="8"/>
          </reference>
        </references>
      </pivotArea>
    </chartFormat>
    <chartFormat chart="17" format="10">
      <pivotArea type="data" outline="0" fieldPosition="0">
        <references count="2">
          <reference field="4294967294" count="1" selected="0">
            <x v="0"/>
          </reference>
          <reference field="10" count="1" selected="0">
            <x v="3"/>
          </reference>
        </references>
      </pivotArea>
    </chartFormat>
    <chartFormat chart="17" format="11">
      <pivotArea type="data" outline="0" fieldPosition="0">
        <references count="2">
          <reference field="4294967294" count="1" selected="0">
            <x v="0"/>
          </reference>
          <reference field="10" count="1" selected="0">
            <x v="1"/>
          </reference>
        </references>
      </pivotArea>
    </chartFormat>
    <chartFormat chart="17" format="12">
      <pivotArea type="data" outline="0" fieldPosition="0">
        <references count="2">
          <reference field="4294967294" count="1" selected="0">
            <x v="0"/>
          </reference>
          <reference field="10" count="1" selected="0">
            <x v="4"/>
          </reference>
        </references>
      </pivotArea>
    </chartFormat>
    <chartFormat chart="17" format="13">
      <pivotArea type="data" outline="0" fieldPosition="0">
        <references count="2">
          <reference field="4294967294" count="1" selected="0">
            <x v="0"/>
          </reference>
          <reference field="1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5984127-6932-4940-A3B0-32D5D9697CF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K7:L14" firstHeaderRow="1" firstDataRow="1" firstDataCol="1"/>
  <pivotFields count="24">
    <pivotField showAll="0"/>
    <pivotField showAll="0">
      <items count="3">
        <item x="0"/>
        <item x="1"/>
        <item t="default"/>
      </items>
    </pivotField>
    <pivotField showAll="0"/>
    <pivotField showAll="0"/>
    <pivotField showAll="0"/>
    <pivotField showAll="0">
      <items count="12">
        <item x="5"/>
        <item x="4"/>
        <item x="3"/>
        <item m="1" x="9"/>
        <item m="1" x="10"/>
        <item x="1"/>
        <item x="2"/>
        <item x="7"/>
        <item m="1" x="8"/>
        <item x="6"/>
        <item x="0"/>
        <item t="default"/>
      </items>
    </pivotField>
    <pivotField axis="axisRow" showAll="0">
      <items count="13">
        <item x="1"/>
        <item x="3"/>
        <item x="0"/>
        <item x="5"/>
        <item x="4"/>
        <item x="2"/>
        <item m="1" x="7"/>
        <item m="1" x="8"/>
        <item m="1" x="9"/>
        <item m="1" x="6"/>
        <item m="1" x="10"/>
        <item m="1" x="1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6"/>
  </rowFields>
  <rowItems count="7">
    <i>
      <x/>
    </i>
    <i>
      <x v="1"/>
    </i>
    <i>
      <x v="2"/>
    </i>
    <i>
      <x v="3"/>
    </i>
    <i>
      <x v="4"/>
    </i>
    <i>
      <x v="5"/>
    </i>
    <i t="grand">
      <x/>
    </i>
  </rowItems>
  <colItems count="1">
    <i/>
  </colItems>
  <dataFields count="1">
    <dataField name="Average of سعر البيع " fld="13" subtotal="average" baseField="0" baseItem="0" numFmtId="164"/>
  </dataFields>
  <formats count="1">
    <format dxfId="22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DC2076B-9A8A-4C51-A8E1-44398657B77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V9:AW18" firstHeaderRow="1" firstDataRow="1" firstDataCol="1" rowPageCount="1" colPageCount="1"/>
  <pivotFields count="24">
    <pivotField showAll="0"/>
    <pivotField showAll="0">
      <items count="3">
        <item x="0"/>
        <item x="1"/>
        <item t="default"/>
      </items>
    </pivotField>
    <pivotField showAll="0"/>
    <pivotField showAll="0"/>
    <pivotField axis="axisRow" showAll="0" sortType="descending">
      <items count="10">
        <item x="1"/>
        <item x="8"/>
        <item x="0"/>
        <item x="7"/>
        <item x="3"/>
        <item x="6"/>
        <item x="4"/>
        <item x="5"/>
        <item h="1" x="2"/>
        <item t="default"/>
      </items>
      <autoSortScope>
        <pivotArea dataOnly="0" outline="0" fieldPosition="0">
          <references count="1">
            <reference field="4294967294" count="1" selected="0">
              <x v="0"/>
            </reference>
          </references>
        </pivotArea>
      </autoSortScope>
    </pivotField>
    <pivotField showAll="0">
      <items count="12">
        <item x="5"/>
        <item x="4"/>
        <item x="3"/>
        <item m="1" x="9"/>
        <item m="1" x="10"/>
        <item x="1"/>
        <item x="2"/>
        <item x="7"/>
        <item m="1" x="8"/>
        <item x="6"/>
        <item x="0"/>
        <item t="default"/>
      </items>
    </pivotField>
    <pivotField showAll="0">
      <items count="13">
        <item m="1" x="10"/>
        <item m="1" x="11"/>
        <item x="1"/>
        <item x="3"/>
        <item x="0"/>
        <item m="1" x="6"/>
        <item x="5"/>
        <item x="4"/>
        <item m="1" x="7"/>
        <item x="2"/>
        <item m="1" x="8"/>
        <item m="1" x="9"/>
        <item t="default"/>
      </items>
    </pivotField>
    <pivotField showAll="0"/>
    <pivotField showAll="0"/>
    <pivotField showAll="0"/>
    <pivotField showAll="0"/>
    <pivotField showAll="0"/>
    <pivotField showAll="0"/>
    <pivotField numFmtId="164" showAll="0"/>
    <pivotField showAll="0"/>
    <pivotField showAll="0"/>
    <pivotField showAll="0"/>
    <pivotField showAll="0"/>
    <pivotField showAll="0"/>
    <pivotField showAll="0"/>
    <pivotField showAll="0"/>
    <pivotField showAll="0"/>
    <pivotField showAll="0"/>
    <pivotField axis="axisPage" dataField="1" showAll="0">
      <items count="7">
        <item x="0"/>
        <item m="1" x="3"/>
        <item x="2"/>
        <item m="1" x="5"/>
        <item x="1"/>
        <item m="1" x="4"/>
        <item t="default"/>
      </items>
    </pivotField>
  </pivotFields>
  <rowFields count="1">
    <field x="4"/>
  </rowFields>
  <rowItems count="9">
    <i>
      <x v="6"/>
    </i>
    <i>
      <x v="2"/>
    </i>
    <i>
      <x v="7"/>
    </i>
    <i>
      <x v="3"/>
    </i>
    <i>
      <x/>
    </i>
    <i>
      <x v="1"/>
    </i>
    <i>
      <x v="4"/>
    </i>
    <i>
      <x v="5"/>
    </i>
    <i t="grand">
      <x/>
    </i>
  </rowItems>
  <colItems count="1">
    <i/>
  </colItems>
  <pageFields count="1">
    <pageField fld="23" item="0" hier="-1"/>
  </pageFields>
  <dataFields count="1">
    <dataField name="Count of الحالة" fld="23" subtotal="count" baseField="0" baseItem="0"/>
  </dataFields>
  <formats count="1">
    <format dxfId="227">
      <pivotArea dataOnly="0" fieldPosition="0">
        <references count="2">
          <reference field="4" count="1">
            <x v="6"/>
          </reference>
          <reference field="23" count="1" selected="0">
            <x v="0"/>
          </reference>
        </references>
      </pivotArea>
    </format>
  </formats>
  <chartFormats count="9">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4" count="1" selected="0">
            <x v="6"/>
          </reference>
        </references>
      </pivotArea>
    </chartFormat>
    <chartFormat chart="4" format="4">
      <pivotArea type="data" outline="0" fieldPosition="0">
        <references count="2">
          <reference field="4294967294" count="1" selected="0">
            <x v="0"/>
          </reference>
          <reference field="4" count="1" selected="0">
            <x v="2"/>
          </reference>
        </references>
      </pivotArea>
    </chartFormat>
    <chartFormat chart="4" format="5">
      <pivotArea type="data" outline="0" fieldPosition="0">
        <references count="2">
          <reference field="4294967294" count="1" selected="0">
            <x v="0"/>
          </reference>
          <reference field="4" count="1" selected="0">
            <x v="7"/>
          </reference>
        </references>
      </pivotArea>
    </chartFormat>
    <chartFormat chart="4" format="6">
      <pivotArea type="data" outline="0" fieldPosition="0">
        <references count="2">
          <reference field="4294967294" count="1" selected="0">
            <x v="0"/>
          </reference>
          <reference field="4" count="1" selected="0">
            <x v="3"/>
          </reference>
        </references>
      </pivotArea>
    </chartFormat>
    <chartFormat chart="4" format="7">
      <pivotArea type="data" outline="0" fieldPosition="0">
        <references count="2">
          <reference field="4294967294" count="1" selected="0">
            <x v="0"/>
          </reference>
          <reference field="4" count="1" selected="0">
            <x v="0"/>
          </reference>
        </references>
      </pivotArea>
    </chartFormat>
    <chartFormat chart="4" format="8">
      <pivotArea type="data" outline="0" fieldPosition="0">
        <references count="2">
          <reference field="4294967294" count="1" selected="0">
            <x v="0"/>
          </reference>
          <reference field="4" count="1" selected="0">
            <x v="1"/>
          </reference>
        </references>
      </pivotArea>
    </chartFormat>
    <chartFormat chart="4" format="9">
      <pivotArea type="data" outline="0" fieldPosition="0">
        <references count="2">
          <reference field="4294967294" count="1" selected="0">
            <x v="0"/>
          </reference>
          <reference field="4" count="1" selected="0">
            <x v="4"/>
          </reference>
        </references>
      </pivotArea>
    </chartFormat>
    <chartFormat chart="4" format="10">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61FF0DF-D34D-46A2-AE0C-88BF3FB7E391}" autoFormatId="16" applyNumberFormats="0" applyBorderFormats="0" applyFontFormats="0" applyPatternFormats="0" applyAlignmentFormats="0" applyWidthHeightFormats="0">
  <queryTableRefresh nextId="25">
    <queryTableFields count="24">
      <queryTableField id="1" name="0" tableColumnId="1"/>
      <queryTableField id="2" name="نوع العميل" tableColumnId="2"/>
      <queryTableField id="3" name="أسم العميل" tableColumnId="3"/>
      <queryTableField id="4" name="العنوان" tableColumnId="4"/>
      <queryTableField id="22" dataBound="0" tableColumnId="20"/>
      <queryTableField id="5" name="منصة البيع " tableColumnId="5"/>
      <queryTableField id="6" name="منتج" tableColumnId="6"/>
      <queryTableField id="7" name="نوع المنتج" tableColumnId="7"/>
      <queryTableField id="8" name="الاسم" tableColumnId="8"/>
      <queryTableField id="9" name="المقاس" tableColumnId="9"/>
      <queryTableField id="10" name="اللون المعدن" tableColumnId="10"/>
      <queryTableField id="11" name="لون القماش" tableColumnId="11"/>
      <queryTableField id="12" name="المنتج" tableColumnId="12"/>
      <queryTableField id="13" name="سعر البيع " tableColumnId="13"/>
      <queryTableField id="14" name="طريقه الدفع " tableColumnId="14"/>
      <queryTableField id="21" dataBound="0" tableColumnId="22"/>
      <queryTableField id="20" dataBound="0" tableColumnId="21"/>
      <queryTableField id="23" dataBound="0" tableColumnId="23"/>
      <queryTableField id="24" dataBound="0" tableColumnId="25"/>
      <queryTableField id="15" name="ميعاد الطلب" tableColumnId="15"/>
      <queryTableField id="16" name="ميعاد التسليم" tableColumnId="16"/>
      <queryTableField id="17" name="تاريخ التسليم" tableColumnId="17"/>
      <queryTableField id="18" name="المسئول عن التسليم" tableColumnId="18"/>
      <queryTableField id="19" name="الحالة"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منصة_البيع" xr10:uid="{9DC16D2F-B4A8-4216-9462-3D6BA385E9F8}" sourceName="منصة البيع ">
  <pivotTables>
    <pivotTable tabId="1" name="PivotTable3"/>
    <pivotTable tabId="1" name="PivotTable1"/>
    <pivotTable tabId="1" name="PivotTable10"/>
    <pivotTable tabId="1" name="PivotTable2"/>
    <pivotTable tabId="1" name="PivotTable4"/>
    <pivotTable tabId="1" name="PivotTable5"/>
    <pivotTable tabId="1" name="PivotTable6"/>
    <pivotTable tabId="1" name="PivotTable7"/>
    <pivotTable tabId="1" name="PivotTable8"/>
    <pivotTable tabId="1" name="PivotTable9"/>
  </pivotTables>
  <data>
    <tabular pivotCacheId="1745559181">
      <items count="11">
        <i x="5" s="1"/>
        <i x="4" s="1"/>
        <i x="3" s="1"/>
        <i x="1" s="1"/>
        <i x="2" s="1"/>
        <i x="7" s="1"/>
        <i x="6" s="1"/>
        <i x="0" s="1"/>
        <i x="9" s="1" nd="1"/>
        <i x="10" s="1" nd="1"/>
        <i x="8"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نوع_العميل" xr10:uid="{1EB8C504-36A8-49EE-AD9D-24141CC9BEE1}" sourceName="نوع العميل">
  <pivotTables>
    <pivotTable tabId="1" name="PivotTable3"/>
    <pivotTable tabId="1" name="PivotTable1"/>
    <pivotTable tabId="1" name="PivotTable10"/>
    <pivotTable tabId="1" name="PivotTable2"/>
    <pivotTable tabId="1" name="PivotTable4"/>
    <pivotTable tabId="1" name="PivotTable5"/>
    <pivotTable tabId="1" name="PivotTable6"/>
    <pivotTable tabId="1" name="PivotTable7"/>
    <pivotTable tabId="1" name="PivotTable8"/>
    <pivotTable tabId="1" name="PivotTable9"/>
  </pivotTables>
  <data>
    <tabular pivotCacheId="174555918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منتج" xr10:uid="{6825A07A-BF05-41C7-A7EA-33641211DC73}" sourceName="منتج">
  <pivotTables>
    <pivotTable tabId="1" name="PivotTable3"/>
    <pivotTable tabId="1" name="PivotTable1"/>
    <pivotTable tabId="1" name="PivotTable10"/>
    <pivotTable tabId="1" name="PivotTable2"/>
    <pivotTable tabId="1" name="PivotTable4"/>
    <pivotTable tabId="1" name="PivotTable5"/>
    <pivotTable tabId="1" name="PivotTable6"/>
    <pivotTable tabId="1" name="PivotTable7"/>
    <pivotTable tabId="1" name="PivotTable8"/>
    <pivotTable tabId="1" name="PivotTable9"/>
  </pivotTables>
  <data>
    <tabular pivotCacheId="1745559181">
      <items count="12">
        <i x="1" s="1"/>
        <i x="3" s="1"/>
        <i x="0" s="1"/>
        <i x="5" s="1"/>
        <i x="4" s="1"/>
        <i x="2" s="1"/>
        <i x="10" s="1" nd="1"/>
        <i x="11" s="1" nd="1"/>
        <i x="6" s="1" nd="1"/>
        <i x="7" s="1" nd="1"/>
        <i x="8" s="1" nd="1"/>
        <i x="9"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منصة البيع " xr10:uid="{8EBCA2A6-2FEC-4453-AD19-0DEB1D8A35F7}" cache="Slicer_منصة_البيع" caption="منصة البيع " columnCount="2" style="SlicerStyleLight3 2" rowHeight="241300"/>
  <slicer name="نوع العميل" xr10:uid="{1D8A79A4-196A-4233-8BC0-7B69D22BE31F}" cache="Slicer_نوع_العميل" caption="نوع العميل" columnCount="2" style="SlicerStyleLight3 2" rowHeight="241300"/>
  <slicer name="منتج" xr10:uid="{39221883-5EA0-48E9-94E0-654F0CFC8D43}" cache="Slicer_منتج" caption="منتج" columnCount="3" style="SlicerStyleLight3 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E872AA-A952-4CCC-8B4D-CBA2E969B325}" name="Table1" displayName="Table1" ref="A1:X127" tableType="queryTable" totalsRowShown="0">
  <autoFilter ref="A1:X127" xr:uid="{26E872AA-A952-4CCC-8B4D-CBA2E969B325}"/>
  <tableColumns count="24">
    <tableColumn id="1" xr3:uid="{ABA73EA5-3D3F-4FA1-878F-7A44FB04B114}" uniqueName="1" name="0" queryTableFieldId="1"/>
    <tableColumn id="2" xr3:uid="{5AA13063-B066-414D-B2FF-1D7D1789014D}" uniqueName="2" name="نوع العميل" queryTableFieldId="2" dataDxfId="247"/>
    <tableColumn id="3" xr3:uid="{3485110B-0F9D-4045-AF6B-3FD757201110}" uniqueName="3" name="أسم العميل" queryTableFieldId="3" dataDxfId="246"/>
    <tableColumn id="4" xr3:uid="{F339419E-8260-43AC-8429-2EBE7931E5E3}" uniqueName="4" name="العنوان" queryTableFieldId="4" dataDxfId="245"/>
    <tableColumn id="20" xr3:uid="{EA6631E4-DDB3-4C2E-9CDB-3D3D3C82956E}" uniqueName="20" name="المحافظة" queryTableFieldId="22"/>
    <tableColumn id="5" xr3:uid="{D9793811-663B-4EF6-A20D-FCAA0A7D8CA6}" uniqueName="5" name="منصة البيع " queryTableFieldId="5" dataDxfId="244"/>
    <tableColumn id="6" xr3:uid="{604517F6-271E-4491-892B-6B23F359AD21}" uniqueName="6" name="منتج" queryTableFieldId="6" dataDxfId="243"/>
    <tableColumn id="7" xr3:uid="{CC548654-E53F-4188-8585-0776DA593926}" uniqueName="7" name="نوع المنتج" queryTableFieldId="7" dataDxfId="242"/>
    <tableColumn id="8" xr3:uid="{BD1976D4-43F2-4A9F-BC01-D64A372D88EA}" uniqueName="8" name="الاسم" queryTableFieldId="8" dataDxfId="241"/>
    <tableColumn id="9" xr3:uid="{F3968D22-2F0F-47D6-AA4A-8FB5F104D2A3}" uniqueName="9" name="المقاس" queryTableFieldId="9"/>
    <tableColumn id="10" xr3:uid="{23F21A9F-4B96-464A-9121-44435569B3C5}" uniqueName="10" name="اللون المعدن" queryTableFieldId="10" dataDxfId="240"/>
    <tableColumn id="11" xr3:uid="{A3127ED7-CF67-4425-8B47-F3F55A65A1B5}" uniqueName="11" name="لون القماش" queryTableFieldId="11" dataDxfId="239"/>
    <tableColumn id="12" xr3:uid="{A60E6632-41C8-4E12-A1A3-6978A1528C3C}" uniqueName="12" name="المنتج" queryTableFieldId="12" dataDxfId="238"/>
    <tableColumn id="13" xr3:uid="{12D7EA02-D8B7-47F6-8AB0-DA517CF505C4}" uniqueName="13" name="سعر البيع " queryTableFieldId="13" dataDxfId="237" dataCellStyle="Comma"/>
    <tableColumn id="14" xr3:uid="{EC8FA98C-7143-4EA6-A510-C12E3BF35D5E}" uniqueName="14" name="طريقه الدفع " queryTableFieldId="14"/>
    <tableColumn id="22" xr3:uid="{923AE87D-5FB1-43D6-9DED-7BFF3A2A78D2}" uniqueName="22" name="مدة التسليم (الهدف)" queryTableFieldId="21" dataDxfId="236">
      <calculatedColumnFormula>IF(OR(ISBLANK(Table1[[#This Row],[ميعاد التسليم]]),ISBLANK(Table1[[#This Row],[ميعاد الطلب]])),0,Table1[[#This Row],[ميعاد التسليم]]-Table1[[#This Row],[ميعاد الطلب]])</calculatedColumnFormula>
    </tableColumn>
    <tableColumn id="21" xr3:uid="{06D00ED2-9E08-48F0-9462-B75F9D4CFCD0}" uniqueName="21" name="مدة التسليم الفعلية" queryTableFieldId="20" dataDxfId="235">
      <calculatedColumnFormula>IF(OR(ISBLANK(Table1[[#This Row],[تاريخ التسليم]]),ISBLANK(Table1[[#This Row],[ميعاد الطلب]])),0,Table1[[#This Row],[تاريخ التسليم]]-Table1[[#This Row],[ميعاد الطلب]])</calculatedColumnFormula>
    </tableColumn>
    <tableColumn id="23" xr3:uid="{CE8FDA08-1C47-45A0-AC27-3D63CD01C14E}" uniqueName="23" name="Column1" queryTableFieldId="23" dataDxfId="234">
      <calculatedColumnFormula>Table1[[#This Row],[مدة التسليم (الهدف)]]-Table1[[#This Row],[مدة التسليم الفعلية]]</calculatedColumnFormula>
    </tableColumn>
    <tableColumn id="25" xr3:uid="{2A375520-5C36-45AF-BC46-C5CFC6C012EB}" uniqueName="25" name="Column2" queryTableFieldId="24" dataDxfId="233">
      <calculatedColumnFormula>IF(Table1[[#This Row],[Column1]]&lt;=0,"متأخرة","مسلمة في الموعد")</calculatedColumnFormula>
    </tableColumn>
    <tableColumn id="15" xr3:uid="{63715A95-5222-47D3-B4C9-65E70AC7D023}" uniqueName="15" name="ميعاد الطلب" queryTableFieldId="15" dataDxfId="232"/>
    <tableColumn id="16" xr3:uid="{77DEFFE3-711D-4F10-9382-32B227418DEB}" uniqueName="16" name="ميعاد التسليم" queryTableFieldId="16" dataDxfId="231"/>
    <tableColumn id="17" xr3:uid="{C4476576-B359-4FEF-8D16-BEE722724AF4}" uniqueName="17" name="تاريخ التسليم" queryTableFieldId="17" dataDxfId="230"/>
    <tableColumn id="18" xr3:uid="{675F4D8B-2921-4EF7-9BB2-B28FA49FA588}" uniqueName="18" name="المسئول عن التسليم" queryTableFieldId="18" dataDxfId="229"/>
    <tableColumn id="19" xr3:uid="{B2251D29-EDB0-48DA-B155-2077189F693A}" uniqueName="19" name="الحالة" queryTableFieldId="19" dataDxfId="228"/>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B0CE7-6705-48B7-B36C-DA0FEA9AE8CC}">
  <dimension ref="A1:X127"/>
  <sheetViews>
    <sheetView topLeftCell="I1" workbookViewId="0">
      <selection activeCell="V33" sqref="V33"/>
    </sheetView>
  </sheetViews>
  <sheetFormatPr defaultRowHeight="15" x14ac:dyDescent="0.25"/>
  <cols>
    <col min="1" max="1" width="4.28515625" bestFit="1" customWidth="1"/>
    <col min="2" max="2" width="9" bestFit="1" customWidth="1"/>
    <col min="3" max="3" width="16.7109375" bestFit="1" customWidth="1"/>
    <col min="4" max="4" width="31" bestFit="1" customWidth="1"/>
    <col min="5" max="5" width="31" customWidth="1"/>
    <col min="6" max="6" width="9.7109375" bestFit="1" customWidth="1"/>
    <col min="7" max="7" width="6.5703125" bestFit="1" customWidth="1"/>
    <col min="8" max="8" width="8.85546875" bestFit="1" customWidth="1"/>
    <col min="9" max="9" width="7.7109375" bestFit="1" customWidth="1"/>
    <col min="10" max="10" width="8.5703125" bestFit="1" customWidth="1"/>
    <col min="11" max="11" width="10.28515625" bestFit="1" customWidth="1"/>
    <col min="12" max="12" width="13.5703125" bestFit="1" customWidth="1"/>
    <col min="13" max="13" width="37.28515625" bestFit="1" customWidth="1"/>
    <col min="14" max="14" width="14.5703125" style="3" bestFit="1" customWidth="1"/>
    <col min="15" max="15" width="10.7109375" bestFit="1" customWidth="1"/>
    <col min="16" max="16" width="16.5703125" bestFit="1" customWidth="1"/>
    <col min="17" max="17" width="15.5703125" bestFit="1" customWidth="1"/>
    <col min="18" max="19" width="15.5703125" customWidth="1"/>
    <col min="20" max="20" width="10.7109375" style="1" bestFit="1" customWidth="1"/>
    <col min="21" max="22" width="11" style="1" bestFit="1" customWidth="1"/>
    <col min="23" max="23" width="29" bestFit="1" customWidth="1"/>
    <col min="24" max="24" width="10" bestFit="1" customWidth="1"/>
  </cols>
  <sheetData>
    <row r="1" spans="1:24" x14ac:dyDescent="0.25">
      <c r="A1" t="s">
        <v>0</v>
      </c>
      <c r="B1" t="s">
        <v>1</v>
      </c>
      <c r="C1" t="s">
        <v>2</v>
      </c>
      <c r="D1" t="s">
        <v>3</v>
      </c>
      <c r="E1" t="s">
        <v>296</v>
      </c>
      <c r="F1" t="s">
        <v>4</v>
      </c>
      <c r="G1" t="s">
        <v>5</v>
      </c>
      <c r="H1" t="s">
        <v>6</v>
      </c>
      <c r="I1" t="s">
        <v>7</v>
      </c>
      <c r="J1" t="s">
        <v>8</v>
      </c>
      <c r="K1" t="s">
        <v>9</v>
      </c>
      <c r="L1" t="s">
        <v>10</v>
      </c>
      <c r="M1" t="s">
        <v>11</v>
      </c>
      <c r="N1" s="3" t="s">
        <v>12</v>
      </c>
      <c r="O1" t="s">
        <v>13</v>
      </c>
      <c r="P1" t="s">
        <v>294</v>
      </c>
      <c r="Q1" t="s">
        <v>293</v>
      </c>
      <c r="R1" t="s">
        <v>295</v>
      </c>
      <c r="S1" t="s">
        <v>301</v>
      </c>
      <c r="T1" s="1" t="s">
        <v>14</v>
      </c>
      <c r="U1" s="1" t="s">
        <v>15</v>
      </c>
      <c r="V1" s="1" t="s">
        <v>16</v>
      </c>
      <c r="W1" t="s">
        <v>17</v>
      </c>
      <c r="X1" t="s">
        <v>18</v>
      </c>
    </row>
    <row r="2" spans="1:24" x14ac:dyDescent="0.25">
      <c r="A2">
        <v>1</v>
      </c>
      <c r="B2" t="s">
        <v>19</v>
      </c>
      <c r="C2" t="s">
        <v>20</v>
      </c>
      <c r="D2" t="s">
        <v>21</v>
      </c>
      <c r="E2" t="s">
        <v>297</v>
      </c>
      <c r="F2" t="s">
        <v>22</v>
      </c>
      <c r="G2" t="s">
        <v>23</v>
      </c>
      <c r="H2" t="s">
        <v>24</v>
      </c>
      <c r="K2" t="s">
        <v>25</v>
      </c>
      <c r="L2" t="s">
        <v>25</v>
      </c>
      <c r="M2" t="s">
        <v>26</v>
      </c>
      <c r="N2" s="3">
        <v>10160</v>
      </c>
      <c r="O2" t="s">
        <v>27</v>
      </c>
      <c r="P2">
        <f>IF(OR(ISBLANK(Table1[[#This Row],[ميعاد التسليم]]),ISBLANK(Table1[[#This Row],[ميعاد الطلب]])),0,Table1[[#This Row],[ميعاد التسليم]]-Table1[[#This Row],[ميعاد الطلب]])</f>
        <v>0</v>
      </c>
      <c r="Q2">
        <f>IF(OR(ISBLANK(Table1[[#This Row],[تاريخ التسليم]]),ISBLANK(Table1[[#This Row],[ميعاد الطلب]])),0,Table1[[#This Row],[تاريخ التسليم]]-Table1[[#This Row],[ميعاد الطلب]])</f>
        <v>0</v>
      </c>
      <c r="R2">
        <f>Table1[[#This Row],[مدة التسليم (الهدف)]]-Table1[[#This Row],[مدة التسليم الفعلية]]</f>
        <v>0</v>
      </c>
      <c r="S2" t="str">
        <f>IF(Table1[[#This Row],[Column1]]&lt;=0,"متأخرة","مسلمة في الموعد")</f>
        <v>متأخرة</v>
      </c>
      <c r="V2" s="1">
        <v>45514</v>
      </c>
      <c r="W2" t="s">
        <v>28</v>
      </c>
      <c r="X2" t="s">
        <v>29</v>
      </c>
    </row>
    <row r="3" spans="1:24" x14ac:dyDescent="0.25">
      <c r="A3">
        <v>2</v>
      </c>
      <c r="B3" t="s">
        <v>19</v>
      </c>
      <c r="C3" t="s">
        <v>30</v>
      </c>
      <c r="D3" t="s">
        <v>31</v>
      </c>
      <c r="E3" t="s">
        <v>298</v>
      </c>
      <c r="F3" t="s">
        <v>22</v>
      </c>
      <c r="G3" t="s">
        <v>23</v>
      </c>
      <c r="H3" t="s">
        <v>24</v>
      </c>
      <c r="K3" t="s">
        <v>32</v>
      </c>
      <c r="L3" t="s">
        <v>32</v>
      </c>
      <c r="M3" t="s">
        <v>33</v>
      </c>
      <c r="N3" s="3">
        <v>10160</v>
      </c>
      <c r="O3">
        <v>9749</v>
      </c>
      <c r="P3">
        <f>IF(OR(ISBLANK(Table1[[#This Row],[ميعاد التسليم]]),ISBLANK(Table1[[#This Row],[ميعاد الطلب]])),0,Table1[[#This Row],[ميعاد التسليم]]-Table1[[#This Row],[ميعاد الطلب]])</f>
        <v>0</v>
      </c>
      <c r="Q3">
        <f>IF(OR(ISBLANK(Table1[[#This Row],[تاريخ التسليم]]),ISBLANK(Table1[[#This Row],[ميعاد الطلب]])),0,Table1[[#This Row],[تاريخ التسليم]]-Table1[[#This Row],[ميعاد الطلب]])</f>
        <v>0</v>
      </c>
      <c r="R3">
        <f>Table1[[#This Row],[مدة التسليم (الهدف)]]-Table1[[#This Row],[مدة التسليم الفعلية]]</f>
        <v>0</v>
      </c>
      <c r="S3" t="str">
        <f>IF(Table1[[#This Row],[Column1]]&lt;=0,"متأخرة","مسلمة في الموعد")</f>
        <v>متأخرة</v>
      </c>
      <c r="V3" s="1">
        <v>45515</v>
      </c>
      <c r="W3" t="s">
        <v>28</v>
      </c>
      <c r="X3" t="s">
        <v>29</v>
      </c>
    </row>
    <row r="4" spans="1:24" x14ac:dyDescent="0.25">
      <c r="A4">
        <v>3</v>
      </c>
      <c r="B4" t="s">
        <v>19</v>
      </c>
      <c r="C4" t="s">
        <v>34</v>
      </c>
      <c r="D4" t="s">
        <v>35</v>
      </c>
      <c r="F4" t="s">
        <v>22</v>
      </c>
      <c r="G4" t="s">
        <v>23</v>
      </c>
      <c r="H4" t="s">
        <v>36</v>
      </c>
      <c r="I4" t="s">
        <v>37</v>
      </c>
      <c r="J4">
        <v>90</v>
      </c>
      <c r="K4" t="s">
        <v>38</v>
      </c>
      <c r="M4" t="s">
        <v>39</v>
      </c>
      <c r="N4" s="3">
        <v>11455</v>
      </c>
      <c r="O4">
        <v>10067.68</v>
      </c>
      <c r="P4">
        <f>IF(OR(ISBLANK(Table1[[#This Row],[ميعاد التسليم]]),ISBLANK(Table1[[#This Row],[ميعاد الطلب]])),0,Table1[[#This Row],[ميعاد التسليم]]-Table1[[#This Row],[ميعاد الطلب]])</f>
        <v>0</v>
      </c>
      <c r="Q4">
        <f>IF(OR(ISBLANK(Table1[[#This Row],[تاريخ التسليم]]),ISBLANK(Table1[[#This Row],[ميعاد الطلب]])),0,Table1[[#This Row],[تاريخ التسليم]]-Table1[[#This Row],[ميعاد الطلب]])</f>
        <v>0</v>
      </c>
      <c r="R4">
        <f>Table1[[#This Row],[مدة التسليم (الهدف)]]-Table1[[#This Row],[مدة التسليم الفعلية]]</f>
        <v>0</v>
      </c>
      <c r="S4" t="str">
        <f>IF(Table1[[#This Row],[Column1]]&lt;=0,"متأخرة","مسلمة في الموعد")</f>
        <v>متأخرة</v>
      </c>
      <c r="W4" t="s">
        <v>68</v>
      </c>
      <c r="X4" t="s">
        <v>69</v>
      </c>
    </row>
    <row r="5" spans="1:24" x14ac:dyDescent="0.25">
      <c r="A5">
        <v>4</v>
      </c>
      <c r="B5" t="s">
        <v>19</v>
      </c>
      <c r="C5" t="s">
        <v>40</v>
      </c>
      <c r="D5" t="s">
        <v>41</v>
      </c>
      <c r="E5" t="s">
        <v>180</v>
      </c>
      <c r="F5" t="s">
        <v>22</v>
      </c>
      <c r="G5" t="s">
        <v>42</v>
      </c>
      <c r="K5" t="s">
        <v>288</v>
      </c>
      <c r="M5" t="s">
        <v>43</v>
      </c>
      <c r="N5" s="3">
        <v>8642</v>
      </c>
      <c r="O5" t="s">
        <v>27</v>
      </c>
      <c r="P5">
        <f>IF(OR(ISBLANK(Table1[[#This Row],[ميعاد التسليم]]),ISBLANK(Table1[[#This Row],[ميعاد الطلب]])),0,Table1[[#This Row],[ميعاد التسليم]]-Table1[[#This Row],[ميعاد الطلب]])</f>
        <v>13</v>
      </c>
      <c r="Q5">
        <f>IF(OR(ISBLANK(Table1[[#This Row],[تاريخ التسليم]]),ISBLANK(Table1[[#This Row],[ميعاد الطلب]])),0,Table1[[#This Row],[تاريخ التسليم]]-Table1[[#This Row],[ميعاد الطلب]])</f>
        <v>2</v>
      </c>
      <c r="R5">
        <f>Table1[[#This Row],[مدة التسليم (الهدف)]]-Table1[[#This Row],[مدة التسليم الفعلية]]</f>
        <v>11</v>
      </c>
      <c r="S5" t="str">
        <f>IF(Table1[[#This Row],[Column1]]&lt;=0,"متأخرة","مسلمة في الموعد")</f>
        <v>مسلمة في الموعد</v>
      </c>
      <c r="T5" s="1">
        <v>45529</v>
      </c>
      <c r="U5" s="1">
        <v>45542</v>
      </c>
      <c r="V5" s="1">
        <v>45531</v>
      </c>
      <c r="W5" t="s">
        <v>28</v>
      </c>
      <c r="X5" t="s">
        <v>29</v>
      </c>
    </row>
    <row r="6" spans="1:24" x14ac:dyDescent="0.25">
      <c r="A6">
        <v>5</v>
      </c>
      <c r="B6" t="s">
        <v>19</v>
      </c>
      <c r="C6" t="s">
        <v>44</v>
      </c>
      <c r="D6" t="s">
        <v>35</v>
      </c>
      <c r="F6" t="s">
        <v>22</v>
      </c>
      <c r="G6" t="s">
        <v>23</v>
      </c>
      <c r="H6" t="s">
        <v>36</v>
      </c>
      <c r="I6" t="s">
        <v>45</v>
      </c>
      <c r="J6">
        <v>100</v>
      </c>
      <c r="K6" t="s">
        <v>46</v>
      </c>
      <c r="M6" t="s">
        <v>47</v>
      </c>
      <c r="N6" s="3">
        <v>12833</v>
      </c>
      <c r="O6">
        <v>12974.22</v>
      </c>
      <c r="P6">
        <f>IF(OR(ISBLANK(Table1[[#This Row],[ميعاد التسليم]]),ISBLANK(Table1[[#This Row],[ميعاد الطلب]])),0,Table1[[#This Row],[ميعاد التسليم]]-Table1[[#This Row],[ميعاد الطلب]])</f>
        <v>15</v>
      </c>
      <c r="Q6">
        <f>IF(OR(ISBLANK(Table1[[#This Row],[تاريخ التسليم]]),ISBLANK(Table1[[#This Row],[ميعاد الطلب]])),0,Table1[[#This Row],[تاريخ التسليم]]-Table1[[#This Row],[ميعاد الطلب]])</f>
        <v>0</v>
      </c>
      <c r="R6">
        <f>Table1[[#This Row],[مدة التسليم (الهدف)]]-Table1[[#This Row],[مدة التسليم الفعلية]]</f>
        <v>15</v>
      </c>
      <c r="S6" t="str">
        <f>IF(Table1[[#This Row],[Column1]]&lt;=0,"متأخرة","مسلمة في الموعد")</f>
        <v>مسلمة في الموعد</v>
      </c>
      <c r="T6" s="1">
        <v>45520</v>
      </c>
      <c r="U6" s="1">
        <v>45535</v>
      </c>
      <c r="W6" t="s">
        <v>68</v>
      </c>
      <c r="X6" t="s">
        <v>69</v>
      </c>
    </row>
    <row r="7" spans="1:24" x14ac:dyDescent="0.25">
      <c r="A7">
        <v>6</v>
      </c>
      <c r="B7" t="s">
        <v>48</v>
      </c>
      <c r="C7" t="s">
        <v>49</v>
      </c>
      <c r="F7" t="s">
        <v>49</v>
      </c>
      <c r="G7" t="s">
        <v>50</v>
      </c>
      <c r="H7" t="s">
        <v>51</v>
      </c>
      <c r="K7" t="s">
        <v>46</v>
      </c>
      <c r="M7" t="s">
        <v>52</v>
      </c>
      <c r="N7" s="3">
        <v>14550</v>
      </c>
      <c r="O7" t="s">
        <v>27</v>
      </c>
      <c r="P7">
        <f>IF(OR(ISBLANK(Table1[[#This Row],[ميعاد التسليم]]),ISBLANK(Table1[[#This Row],[ميعاد الطلب]])),0,Table1[[#This Row],[ميعاد التسليم]]-Table1[[#This Row],[ميعاد الطلب]])</f>
        <v>20</v>
      </c>
      <c r="Q7">
        <f>IF(OR(ISBLANK(Table1[[#This Row],[تاريخ التسليم]]),ISBLANK(Table1[[#This Row],[ميعاد الطلب]])),0,Table1[[#This Row],[تاريخ التسليم]]-Table1[[#This Row],[ميعاد الطلب]])</f>
        <v>22</v>
      </c>
      <c r="R7">
        <f>Table1[[#This Row],[مدة التسليم (الهدف)]]-Table1[[#This Row],[مدة التسليم الفعلية]]</f>
        <v>-2</v>
      </c>
      <c r="S7" t="str">
        <f>IF(Table1[[#This Row],[Column1]]&lt;=0,"متأخرة","مسلمة في الموعد")</f>
        <v>متأخرة</v>
      </c>
      <c r="T7" s="1">
        <v>45518</v>
      </c>
      <c r="U7" s="1">
        <v>45538</v>
      </c>
      <c r="V7" s="1">
        <v>45540</v>
      </c>
      <c r="W7" t="s">
        <v>28</v>
      </c>
      <c r="X7" t="s">
        <v>29</v>
      </c>
    </row>
    <row r="8" spans="1:24" x14ac:dyDescent="0.25">
      <c r="A8">
        <v>7</v>
      </c>
      <c r="B8" t="s">
        <v>19</v>
      </c>
      <c r="C8" t="s">
        <v>53</v>
      </c>
      <c r="D8" t="s">
        <v>54</v>
      </c>
      <c r="E8" t="s">
        <v>299</v>
      </c>
      <c r="F8" t="s">
        <v>55</v>
      </c>
      <c r="G8" t="s">
        <v>50</v>
      </c>
      <c r="H8" t="s">
        <v>51</v>
      </c>
      <c r="K8" t="s">
        <v>46</v>
      </c>
      <c r="M8" t="s">
        <v>52</v>
      </c>
      <c r="N8" s="3">
        <v>12000</v>
      </c>
      <c r="O8">
        <v>12000</v>
      </c>
      <c r="P8">
        <f>IF(OR(ISBLANK(Table1[[#This Row],[ميعاد التسليم]]),ISBLANK(Table1[[#This Row],[ميعاد الطلب]])),0,Table1[[#This Row],[ميعاد التسليم]]-Table1[[#This Row],[ميعاد الطلب]])</f>
        <v>3</v>
      </c>
      <c r="Q8">
        <f>IF(OR(ISBLANK(Table1[[#This Row],[تاريخ التسليم]]),ISBLANK(Table1[[#This Row],[ميعاد الطلب]])),0,Table1[[#This Row],[تاريخ التسليم]]-Table1[[#This Row],[ميعاد الطلب]])</f>
        <v>2</v>
      </c>
      <c r="R8">
        <f>Table1[[#This Row],[مدة التسليم (الهدف)]]-Table1[[#This Row],[مدة التسليم الفعلية]]</f>
        <v>1</v>
      </c>
      <c r="S8" t="str">
        <f>IF(Table1[[#This Row],[Column1]]&lt;=0,"متأخرة","مسلمة في الموعد")</f>
        <v>مسلمة في الموعد</v>
      </c>
      <c r="T8" s="1">
        <v>45521</v>
      </c>
      <c r="U8" s="1">
        <v>45524</v>
      </c>
      <c r="V8" s="1">
        <v>45523</v>
      </c>
      <c r="W8" t="s">
        <v>28</v>
      </c>
      <c r="X8" t="s">
        <v>29</v>
      </c>
    </row>
    <row r="9" spans="1:24" x14ac:dyDescent="0.25">
      <c r="A9">
        <v>8</v>
      </c>
      <c r="B9" t="s">
        <v>48</v>
      </c>
      <c r="C9" t="s">
        <v>56</v>
      </c>
      <c r="D9" t="s">
        <v>57</v>
      </c>
      <c r="E9" t="s">
        <v>297</v>
      </c>
      <c r="F9" t="s">
        <v>22</v>
      </c>
      <c r="G9" t="s">
        <v>23</v>
      </c>
      <c r="H9" t="s">
        <v>58</v>
      </c>
      <c r="K9" t="s">
        <v>25</v>
      </c>
      <c r="M9" t="s">
        <v>59</v>
      </c>
      <c r="N9" s="3">
        <v>7228</v>
      </c>
      <c r="O9" t="s">
        <v>27</v>
      </c>
      <c r="P9">
        <f>IF(OR(ISBLANK(Table1[[#This Row],[ميعاد التسليم]]),ISBLANK(Table1[[#This Row],[ميعاد الطلب]])),0,Table1[[#This Row],[ميعاد التسليم]]-Table1[[#This Row],[ميعاد الطلب]])</f>
        <v>9</v>
      </c>
      <c r="Q9">
        <f>IF(OR(ISBLANK(Table1[[#This Row],[تاريخ التسليم]]),ISBLANK(Table1[[#This Row],[ميعاد الطلب]])),0,Table1[[#This Row],[تاريخ التسليم]]-Table1[[#This Row],[ميعاد الطلب]])</f>
        <v>16</v>
      </c>
      <c r="R9">
        <f>Table1[[#This Row],[مدة التسليم (الهدف)]]-Table1[[#This Row],[مدة التسليم الفعلية]]</f>
        <v>-7</v>
      </c>
      <c r="S9" t="str">
        <f>IF(Table1[[#This Row],[Column1]]&lt;=0,"متأخرة","مسلمة في الموعد")</f>
        <v>متأخرة</v>
      </c>
      <c r="T9" s="1">
        <v>45529</v>
      </c>
      <c r="U9" s="1">
        <v>45538</v>
      </c>
      <c r="V9" s="1">
        <v>45545</v>
      </c>
      <c r="W9" t="s">
        <v>28</v>
      </c>
      <c r="X9" t="s">
        <v>29</v>
      </c>
    </row>
    <row r="10" spans="1:24" x14ac:dyDescent="0.25">
      <c r="A10">
        <v>9</v>
      </c>
      <c r="B10" t="s">
        <v>48</v>
      </c>
      <c r="C10" t="s">
        <v>60</v>
      </c>
      <c r="D10" t="s">
        <v>61</v>
      </c>
      <c r="E10" t="s">
        <v>299</v>
      </c>
      <c r="F10" t="s">
        <v>62</v>
      </c>
      <c r="G10" t="s">
        <v>63</v>
      </c>
      <c r="H10" t="s">
        <v>64</v>
      </c>
      <c r="K10" t="s">
        <v>288</v>
      </c>
      <c r="M10" t="s">
        <v>65</v>
      </c>
      <c r="N10" s="3">
        <v>22000</v>
      </c>
      <c r="O10">
        <v>22000</v>
      </c>
      <c r="P10">
        <f>IF(OR(ISBLANK(Table1[[#This Row],[ميعاد التسليم]]),ISBLANK(Table1[[#This Row],[ميعاد الطلب]])),0,Table1[[#This Row],[ميعاد التسليم]]-Table1[[#This Row],[ميعاد الطلب]])</f>
        <v>13</v>
      </c>
      <c r="Q10">
        <f>IF(OR(ISBLANK(Table1[[#This Row],[تاريخ التسليم]]),ISBLANK(Table1[[#This Row],[ميعاد الطلب]])),0,Table1[[#This Row],[تاريخ التسليم]]-Table1[[#This Row],[ميعاد الطلب]])</f>
        <v>29</v>
      </c>
      <c r="R10">
        <f>Table1[[#This Row],[مدة التسليم (الهدف)]]-Table1[[#This Row],[مدة التسليم الفعلية]]</f>
        <v>-16</v>
      </c>
      <c r="S10" t="str">
        <f>IF(Table1[[#This Row],[Column1]]&lt;=0,"متأخرة","مسلمة في الموعد")</f>
        <v>متأخرة</v>
      </c>
      <c r="T10" s="1">
        <v>45523</v>
      </c>
      <c r="U10" s="1">
        <v>45536</v>
      </c>
      <c r="V10" s="1">
        <v>45552</v>
      </c>
      <c r="X10" t="s">
        <v>29</v>
      </c>
    </row>
    <row r="11" spans="1:24" x14ac:dyDescent="0.25">
      <c r="A11">
        <v>10</v>
      </c>
      <c r="B11" t="s">
        <v>48</v>
      </c>
      <c r="C11" t="s">
        <v>60</v>
      </c>
      <c r="D11" t="s">
        <v>61</v>
      </c>
      <c r="F11" t="s">
        <v>62</v>
      </c>
      <c r="G11" t="s">
        <v>50</v>
      </c>
      <c r="H11" t="s">
        <v>66</v>
      </c>
      <c r="K11" t="s">
        <v>288</v>
      </c>
      <c r="M11" t="s">
        <v>67</v>
      </c>
      <c r="N11" s="3">
        <v>16000</v>
      </c>
      <c r="O11">
        <v>16000</v>
      </c>
      <c r="P11">
        <f>IF(OR(ISBLANK(Table1[[#This Row],[ميعاد التسليم]]),ISBLANK(Table1[[#This Row],[ميعاد الطلب]])),0,Table1[[#This Row],[ميعاد التسليم]]-Table1[[#This Row],[ميعاد الطلب]])</f>
        <v>0</v>
      </c>
      <c r="Q11">
        <f>IF(OR(ISBLANK(Table1[[#This Row],[تاريخ التسليم]]),ISBLANK(Table1[[#This Row],[ميعاد الطلب]])),0,Table1[[#This Row],[تاريخ التسليم]]-Table1[[#This Row],[ميعاد الطلب]])</f>
        <v>0</v>
      </c>
      <c r="R11">
        <f>Table1[[#This Row],[مدة التسليم (الهدف)]]-Table1[[#This Row],[مدة التسليم الفعلية]]</f>
        <v>0</v>
      </c>
      <c r="S11" t="str">
        <f>IF(Table1[[#This Row],[Column1]]&lt;=0,"متأخرة","مسلمة في الموعد")</f>
        <v>متأخرة</v>
      </c>
      <c r="W11" t="s">
        <v>68</v>
      </c>
      <c r="X11" t="s">
        <v>69</v>
      </c>
    </row>
    <row r="12" spans="1:24" x14ac:dyDescent="0.25">
      <c r="A12">
        <v>11</v>
      </c>
      <c r="B12" t="s">
        <v>48</v>
      </c>
      <c r="C12" t="s">
        <v>60</v>
      </c>
      <c r="D12" t="s">
        <v>70</v>
      </c>
      <c r="E12" t="s">
        <v>299</v>
      </c>
      <c r="F12" t="s">
        <v>62</v>
      </c>
      <c r="G12" t="s">
        <v>50</v>
      </c>
      <c r="H12" t="s">
        <v>66</v>
      </c>
      <c r="K12" t="s">
        <v>288</v>
      </c>
      <c r="M12" t="s">
        <v>71</v>
      </c>
      <c r="N12" s="3">
        <v>6000</v>
      </c>
      <c r="O12">
        <v>12000</v>
      </c>
      <c r="P12">
        <f>IF(OR(ISBLANK(Table1[[#This Row],[ميعاد التسليم]]),ISBLANK(Table1[[#This Row],[ميعاد الطلب]])),0,Table1[[#This Row],[ميعاد التسليم]]-Table1[[#This Row],[ميعاد الطلب]])</f>
        <v>21</v>
      </c>
      <c r="Q12">
        <f>IF(OR(ISBLANK(Table1[[#This Row],[تاريخ التسليم]]),ISBLANK(Table1[[#This Row],[ميعاد الطلب]])),0,Table1[[#This Row],[تاريخ التسليم]]-Table1[[#This Row],[ميعاد الطلب]])</f>
        <v>23</v>
      </c>
      <c r="R12">
        <f>Table1[[#This Row],[مدة التسليم (الهدف)]]-Table1[[#This Row],[مدة التسليم الفعلية]]</f>
        <v>-2</v>
      </c>
      <c r="S12" t="str">
        <f>IF(Table1[[#This Row],[Column1]]&lt;=0,"متأخرة","مسلمة في الموعد")</f>
        <v>متأخرة</v>
      </c>
      <c r="T12" s="1">
        <v>45529</v>
      </c>
      <c r="U12" s="1">
        <v>45550</v>
      </c>
      <c r="V12" s="1">
        <v>45552</v>
      </c>
      <c r="W12" t="s">
        <v>72</v>
      </c>
      <c r="X12" t="s">
        <v>29</v>
      </c>
    </row>
    <row r="13" spans="1:24" x14ac:dyDescent="0.25">
      <c r="A13">
        <v>12</v>
      </c>
      <c r="B13" t="s">
        <v>48</v>
      </c>
      <c r="C13" t="s">
        <v>60</v>
      </c>
      <c r="D13" t="s">
        <v>70</v>
      </c>
      <c r="E13" t="s">
        <v>299</v>
      </c>
      <c r="F13" t="s">
        <v>62</v>
      </c>
      <c r="G13" t="s">
        <v>50</v>
      </c>
      <c r="H13" t="s">
        <v>66</v>
      </c>
      <c r="K13" t="s">
        <v>288</v>
      </c>
      <c r="M13" t="s">
        <v>71</v>
      </c>
      <c r="N13" s="3">
        <v>6000</v>
      </c>
      <c r="O13">
        <v>12000</v>
      </c>
      <c r="P13">
        <f>IF(OR(ISBLANK(Table1[[#This Row],[ميعاد التسليم]]),ISBLANK(Table1[[#This Row],[ميعاد الطلب]])),0,Table1[[#This Row],[ميعاد التسليم]]-Table1[[#This Row],[ميعاد الطلب]])</f>
        <v>21</v>
      </c>
      <c r="Q13">
        <f>IF(OR(ISBLANK(Table1[[#This Row],[تاريخ التسليم]]),ISBLANK(Table1[[#This Row],[ميعاد الطلب]])),0,Table1[[#This Row],[تاريخ التسليم]]-Table1[[#This Row],[ميعاد الطلب]])</f>
        <v>23</v>
      </c>
      <c r="R13">
        <f>Table1[[#This Row],[مدة التسليم (الهدف)]]-Table1[[#This Row],[مدة التسليم الفعلية]]</f>
        <v>-2</v>
      </c>
      <c r="S13" t="str">
        <f>IF(Table1[[#This Row],[Column1]]&lt;=0,"متأخرة","مسلمة في الموعد")</f>
        <v>متأخرة</v>
      </c>
      <c r="T13" s="1">
        <v>45529</v>
      </c>
      <c r="U13" s="1">
        <v>45550</v>
      </c>
      <c r="V13" s="1">
        <v>45552</v>
      </c>
      <c r="W13" t="s">
        <v>72</v>
      </c>
      <c r="X13" t="s">
        <v>29</v>
      </c>
    </row>
    <row r="14" spans="1:24" x14ac:dyDescent="0.25">
      <c r="A14">
        <v>13</v>
      </c>
      <c r="B14" t="s">
        <v>19</v>
      </c>
      <c r="C14" t="s">
        <v>73</v>
      </c>
      <c r="D14" t="s">
        <v>74</v>
      </c>
      <c r="E14" t="s">
        <v>299</v>
      </c>
      <c r="F14" t="s">
        <v>22</v>
      </c>
      <c r="G14" t="s">
        <v>23</v>
      </c>
      <c r="H14" t="s">
        <v>36</v>
      </c>
      <c r="I14" t="s">
        <v>45</v>
      </c>
      <c r="J14">
        <v>80</v>
      </c>
      <c r="K14" t="s">
        <v>25</v>
      </c>
      <c r="M14" t="s">
        <v>75</v>
      </c>
      <c r="N14" s="3">
        <v>10499</v>
      </c>
      <c r="O14">
        <v>8924</v>
      </c>
      <c r="P14">
        <f>IF(OR(ISBLANK(Table1[[#This Row],[ميعاد التسليم]]),ISBLANK(Table1[[#This Row],[ميعاد الطلب]])),0,Table1[[#This Row],[ميعاد التسليم]]-Table1[[#This Row],[ميعاد الطلب]])</f>
        <v>15</v>
      </c>
      <c r="Q14">
        <f>IF(OR(ISBLANK(Table1[[#This Row],[تاريخ التسليم]]),ISBLANK(Table1[[#This Row],[ميعاد الطلب]])),0,Table1[[#This Row],[تاريخ التسليم]]-Table1[[#This Row],[ميعاد الطلب]])</f>
        <v>7</v>
      </c>
      <c r="R14">
        <f>Table1[[#This Row],[مدة التسليم (الهدف)]]-Table1[[#This Row],[مدة التسليم الفعلية]]</f>
        <v>8</v>
      </c>
      <c r="S14" t="str">
        <f>IF(Table1[[#This Row],[Column1]]&lt;=0,"متأخرة","مسلمة في الموعد")</f>
        <v>مسلمة في الموعد</v>
      </c>
      <c r="T14" s="1">
        <v>45536</v>
      </c>
      <c r="U14" s="1">
        <v>45551</v>
      </c>
      <c r="V14" s="1">
        <v>45543</v>
      </c>
      <c r="W14" t="s">
        <v>28</v>
      </c>
      <c r="X14" t="s">
        <v>29</v>
      </c>
    </row>
    <row r="15" spans="1:24" x14ac:dyDescent="0.25">
      <c r="A15">
        <v>14</v>
      </c>
      <c r="B15" t="s">
        <v>19</v>
      </c>
      <c r="C15" t="s">
        <v>76</v>
      </c>
      <c r="D15" t="s">
        <v>57</v>
      </c>
      <c r="F15" t="s">
        <v>22</v>
      </c>
      <c r="G15" t="s">
        <v>23</v>
      </c>
      <c r="H15" t="s">
        <v>58</v>
      </c>
      <c r="I15" t="s">
        <v>45</v>
      </c>
      <c r="J15">
        <v>80</v>
      </c>
      <c r="K15" t="s">
        <v>25</v>
      </c>
      <c r="M15" t="s">
        <v>77</v>
      </c>
      <c r="N15" s="3">
        <v>7295</v>
      </c>
      <c r="O15">
        <v>5895</v>
      </c>
      <c r="P15">
        <f>IF(OR(ISBLANK(Table1[[#This Row],[ميعاد التسليم]]),ISBLANK(Table1[[#This Row],[ميعاد الطلب]])),0,Table1[[#This Row],[ميعاد التسليم]]-Table1[[#This Row],[ميعاد الطلب]])</f>
        <v>9</v>
      </c>
      <c r="Q15">
        <f>IF(OR(ISBLANK(Table1[[#This Row],[تاريخ التسليم]]),ISBLANK(Table1[[#This Row],[ميعاد الطلب]])),0,Table1[[#This Row],[تاريخ التسليم]]-Table1[[#This Row],[ميعاد الطلب]])</f>
        <v>0</v>
      </c>
      <c r="R15">
        <f>Table1[[#This Row],[مدة التسليم (الهدف)]]-Table1[[#This Row],[مدة التسليم الفعلية]]</f>
        <v>9</v>
      </c>
      <c r="S15" t="str">
        <f>IF(Table1[[#This Row],[Column1]]&lt;=0,"متأخرة","مسلمة في الموعد")</f>
        <v>مسلمة في الموعد</v>
      </c>
      <c r="T15" s="1">
        <v>45540</v>
      </c>
      <c r="U15" s="1">
        <v>45549</v>
      </c>
      <c r="X15" t="s">
        <v>69</v>
      </c>
    </row>
    <row r="16" spans="1:24" x14ac:dyDescent="0.25">
      <c r="A16">
        <v>15</v>
      </c>
      <c r="B16" t="s">
        <v>19</v>
      </c>
      <c r="C16" t="s">
        <v>78</v>
      </c>
      <c r="D16" t="s">
        <v>79</v>
      </c>
      <c r="F16" t="s">
        <v>22</v>
      </c>
      <c r="G16" t="s">
        <v>42</v>
      </c>
      <c r="H16" t="s">
        <v>80</v>
      </c>
      <c r="K16" t="s">
        <v>288</v>
      </c>
      <c r="M16" t="s">
        <v>81</v>
      </c>
      <c r="N16" s="3">
        <v>7849</v>
      </c>
      <c r="O16" t="s">
        <v>27</v>
      </c>
      <c r="P16">
        <f>IF(OR(ISBLANK(Table1[[#This Row],[ميعاد التسليم]]),ISBLANK(Table1[[#This Row],[ميعاد الطلب]])),0,Table1[[#This Row],[ميعاد التسليم]]-Table1[[#This Row],[ميعاد الطلب]])</f>
        <v>12</v>
      </c>
      <c r="Q16">
        <f>IF(OR(ISBLANK(Table1[[#This Row],[تاريخ التسليم]]),ISBLANK(Table1[[#This Row],[ميعاد الطلب]])),0,Table1[[#This Row],[تاريخ التسليم]]-Table1[[#This Row],[ميعاد الطلب]])</f>
        <v>21</v>
      </c>
      <c r="R16">
        <f>Table1[[#This Row],[مدة التسليم (الهدف)]]-Table1[[#This Row],[مدة التسليم الفعلية]]</f>
        <v>-9</v>
      </c>
      <c r="S16" t="str">
        <f>IF(Table1[[#This Row],[Column1]]&lt;=0,"متأخرة","مسلمة في الموعد")</f>
        <v>متأخرة</v>
      </c>
      <c r="T16" s="1">
        <v>45539</v>
      </c>
      <c r="U16" s="1">
        <v>45551</v>
      </c>
      <c r="V16" s="1">
        <v>45560</v>
      </c>
      <c r="W16" t="s">
        <v>28</v>
      </c>
      <c r="X16" t="s">
        <v>82</v>
      </c>
    </row>
    <row r="17" spans="1:24" x14ac:dyDescent="0.25">
      <c r="A17">
        <v>16</v>
      </c>
      <c r="B17" t="s">
        <v>19</v>
      </c>
      <c r="C17" t="s">
        <v>83</v>
      </c>
      <c r="D17" t="s">
        <v>84</v>
      </c>
      <c r="E17" t="s">
        <v>299</v>
      </c>
      <c r="F17" t="s">
        <v>85</v>
      </c>
      <c r="G17" t="s">
        <v>23</v>
      </c>
      <c r="H17" t="s">
        <v>36</v>
      </c>
      <c r="I17" t="s">
        <v>37</v>
      </c>
      <c r="J17">
        <v>120</v>
      </c>
      <c r="K17" t="s">
        <v>32</v>
      </c>
      <c r="M17" t="s">
        <v>86</v>
      </c>
      <c r="N17" s="3">
        <v>6180</v>
      </c>
      <c r="O17">
        <v>9700</v>
      </c>
      <c r="P17">
        <f>IF(OR(ISBLANK(Table1[[#This Row],[ميعاد التسليم]]),ISBLANK(Table1[[#This Row],[ميعاد الطلب]])),0,Table1[[#This Row],[ميعاد التسليم]]-Table1[[#This Row],[ميعاد الطلب]])</f>
        <v>13</v>
      </c>
      <c r="Q17">
        <f>IF(OR(ISBLANK(Table1[[#This Row],[تاريخ التسليم]]),ISBLANK(Table1[[#This Row],[ميعاد الطلب]])),0,Table1[[#This Row],[تاريخ التسليم]]-Table1[[#This Row],[ميعاد الطلب]])</f>
        <v>12</v>
      </c>
      <c r="R17">
        <f>Table1[[#This Row],[مدة التسليم (الهدف)]]-Table1[[#This Row],[مدة التسليم الفعلية]]</f>
        <v>1</v>
      </c>
      <c r="S17" t="str">
        <f>IF(Table1[[#This Row],[Column1]]&lt;=0,"متأخرة","مسلمة في الموعد")</f>
        <v>مسلمة في الموعد</v>
      </c>
      <c r="T17" s="1">
        <v>45538</v>
      </c>
      <c r="U17" s="1">
        <v>45551</v>
      </c>
      <c r="V17" s="1">
        <v>45550</v>
      </c>
      <c r="W17" t="s">
        <v>72</v>
      </c>
      <c r="X17" t="s">
        <v>29</v>
      </c>
    </row>
    <row r="18" spans="1:24" x14ac:dyDescent="0.25">
      <c r="A18">
        <v>17</v>
      </c>
      <c r="B18" t="s">
        <v>19</v>
      </c>
      <c r="C18" t="s">
        <v>83</v>
      </c>
      <c r="D18" t="s">
        <v>84</v>
      </c>
      <c r="E18" t="s">
        <v>299</v>
      </c>
      <c r="F18" t="s">
        <v>85</v>
      </c>
      <c r="G18" t="s">
        <v>23</v>
      </c>
      <c r="H18" t="s">
        <v>36</v>
      </c>
      <c r="I18" t="s">
        <v>37</v>
      </c>
      <c r="J18">
        <v>120</v>
      </c>
      <c r="K18" t="s">
        <v>32</v>
      </c>
      <c r="M18" t="s">
        <v>86</v>
      </c>
      <c r="N18" s="3">
        <v>6180</v>
      </c>
      <c r="O18">
        <v>9700</v>
      </c>
      <c r="P18">
        <f>IF(OR(ISBLANK(Table1[[#This Row],[ميعاد التسليم]]),ISBLANK(Table1[[#This Row],[ميعاد الطلب]])),0,Table1[[#This Row],[ميعاد التسليم]]-Table1[[#This Row],[ميعاد الطلب]])</f>
        <v>13</v>
      </c>
      <c r="Q18">
        <f>IF(OR(ISBLANK(Table1[[#This Row],[تاريخ التسليم]]),ISBLANK(Table1[[#This Row],[ميعاد الطلب]])),0,Table1[[#This Row],[تاريخ التسليم]]-Table1[[#This Row],[ميعاد الطلب]])</f>
        <v>12</v>
      </c>
      <c r="R18">
        <f>Table1[[#This Row],[مدة التسليم (الهدف)]]-Table1[[#This Row],[مدة التسليم الفعلية]]</f>
        <v>1</v>
      </c>
      <c r="S18" t="str">
        <f>IF(Table1[[#This Row],[Column1]]&lt;=0,"متأخرة","مسلمة في الموعد")</f>
        <v>مسلمة في الموعد</v>
      </c>
      <c r="T18" s="1">
        <v>45538</v>
      </c>
      <c r="U18" s="1">
        <v>45551</v>
      </c>
      <c r="V18" s="1">
        <v>45550</v>
      </c>
      <c r="W18" t="s">
        <v>72</v>
      </c>
      <c r="X18" t="s">
        <v>29</v>
      </c>
    </row>
    <row r="19" spans="1:24" x14ac:dyDescent="0.25">
      <c r="A19">
        <v>18</v>
      </c>
      <c r="B19" t="s">
        <v>19</v>
      </c>
      <c r="C19" t="s">
        <v>87</v>
      </c>
      <c r="D19" t="s">
        <v>88</v>
      </c>
      <c r="F19" t="s">
        <v>22</v>
      </c>
      <c r="G19" t="s">
        <v>23</v>
      </c>
      <c r="H19" t="s">
        <v>36</v>
      </c>
      <c r="I19" t="s">
        <v>89</v>
      </c>
      <c r="J19">
        <v>80</v>
      </c>
      <c r="K19" t="s">
        <v>25</v>
      </c>
      <c r="M19" t="s">
        <v>90</v>
      </c>
      <c r="N19" s="3">
        <v>11199</v>
      </c>
      <c r="O19">
        <v>11310</v>
      </c>
      <c r="P19">
        <f>IF(OR(ISBLANK(Table1[[#This Row],[ميعاد التسليم]]),ISBLANK(Table1[[#This Row],[ميعاد الطلب]])),0,Table1[[#This Row],[ميعاد التسليم]]-Table1[[#This Row],[ميعاد الطلب]])</f>
        <v>14</v>
      </c>
      <c r="Q19">
        <f>IF(OR(ISBLANK(Table1[[#This Row],[تاريخ التسليم]]),ISBLANK(Table1[[#This Row],[ميعاد الطلب]])),0,Table1[[#This Row],[تاريخ التسليم]]-Table1[[#This Row],[ميعاد الطلب]])</f>
        <v>0</v>
      </c>
      <c r="R19">
        <f>Table1[[#This Row],[مدة التسليم (الهدف)]]-Table1[[#This Row],[مدة التسليم الفعلية]]</f>
        <v>14</v>
      </c>
      <c r="S19" t="str">
        <f>IF(Table1[[#This Row],[Column1]]&lt;=0,"متأخرة","مسلمة في الموعد")</f>
        <v>مسلمة في الموعد</v>
      </c>
      <c r="T19" s="1">
        <v>45539</v>
      </c>
      <c r="U19" s="1">
        <v>45553</v>
      </c>
      <c r="X19" t="s">
        <v>69</v>
      </c>
    </row>
    <row r="20" spans="1:24" x14ac:dyDescent="0.25">
      <c r="A20">
        <v>19</v>
      </c>
      <c r="B20" t="s">
        <v>19</v>
      </c>
      <c r="C20" t="s">
        <v>53</v>
      </c>
      <c r="D20" t="s">
        <v>91</v>
      </c>
      <c r="E20" t="s">
        <v>299</v>
      </c>
      <c r="F20" t="s">
        <v>22</v>
      </c>
      <c r="G20" t="s">
        <v>23</v>
      </c>
      <c r="H20" t="s">
        <v>58</v>
      </c>
      <c r="I20" t="s">
        <v>92</v>
      </c>
      <c r="J20">
        <v>80</v>
      </c>
      <c r="K20" t="s">
        <v>25</v>
      </c>
      <c r="M20" t="s">
        <v>93</v>
      </c>
      <c r="N20" s="3">
        <v>7987</v>
      </c>
      <c r="O20" t="s">
        <v>27</v>
      </c>
      <c r="P20">
        <f>IF(OR(ISBLANK(Table1[[#This Row],[ميعاد التسليم]]),ISBLANK(Table1[[#This Row],[ميعاد الطلب]])),0,Table1[[#This Row],[ميعاد التسليم]]-Table1[[#This Row],[ميعاد الطلب]])</f>
        <v>10</v>
      </c>
      <c r="Q20">
        <f>IF(OR(ISBLANK(Table1[[#This Row],[تاريخ التسليم]]),ISBLANK(Table1[[#This Row],[ميعاد الطلب]])),0,Table1[[#This Row],[تاريخ التسليم]]-Table1[[#This Row],[ميعاد الطلب]])</f>
        <v>15</v>
      </c>
      <c r="R20">
        <f>Table1[[#This Row],[مدة التسليم (الهدف)]]-Table1[[#This Row],[مدة التسليم الفعلية]]</f>
        <v>-5</v>
      </c>
      <c r="S20" t="str">
        <f>IF(Table1[[#This Row],[Column1]]&lt;=0,"متأخرة","مسلمة في الموعد")</f>
        <v>متأخرة</v>
      </c>
      <c r="T20" s="1">
        <v>45541</v>
      </c>
      <c r="U20" s="1">
        <v>45551</v>
      </c>
      <c r="V20" s="1">
        <v>45556</v>
      </c>
      <c r="W20" t="s">
        <v>72</v>
      </c>
      <c r="X20" t="s">
        <v>29</v>
      </c>
    </row>
    <row r="21" spans="1:24" x14ac:dyDescent="0.25">
      <c r="A21">
        <v>20</v>
      </c>
      <c r="B21" t="s">
        <v>19</v>
      </c>
      <c r="C21" t="s">
        <v>62</v>
      </c>
      <c r="D21" t="s">
        <v>61</v>
      </c>
      <c r="E21" t="s">
        <v>299</v>
      </c>
      <c r="F21" t="s">
        <v>62</v>
      </c>
      <c r="G21" t="s">
        <v>94</v>
      </c>
      <c r="H21" t="s">
        <v>95</v>
      </c>
      <c r="K21" t="s">
        <v>288</v>
      </c>
      <c r="M21" t="s">
        <v>96</v>
      </c>
      <c r="N21" s="3">
        <v>9300</v>
      </c>
      <c r="O21">
        <v>9300</v>
      </c>
      <c r="P21">
        <f>IF(OR(ISBLANK(Table1[[#This Row],[ميعاد التسليم]]),ISBLANK(Table1[[#This Row],[ميعاد الطلب]])),0,Table1[[#This Row],[ميعاد التسليم]]-Table1[[#This Row],[ميعاد الطلب]])</f>
        <v>11</v>
      </c>
      <c r="Q21">
        <f>IF(OR(ISBLANK(Table1[[#This Row],[تاريخ التسليم]]),ISBLANK(Table1[[#This Row],[ميعاد الطلب]])),0,Table1[[#This Row],[تاريخ التسليم]]-Table1[[#This Row],[ميعاد الطلب]])</f>
        <v>13</v>
      </c>
      <c r="R21">
        <f>Table1[[#This Row],[مدة التسليم (الهدف)]]-Table1[[#This Row],[مدة التسليم الفعلية]]</f>
        <v>-2</v>
      </c>
      <c r="S21" t="str">
        <f>IF(Table1[[#This Row],[Column1]]&lt;=0,"متأخرة","مسلمة في الموعد")</f>
        <v>متأخرة</v>
      </c>
      <c r="T21" s="1">
        <v>45539</v>
      </c>
      <c r="U21" s="1">
        <v>45550</v>
      </c>
      <c r="V21" s="1">
        <v>45552</v>
      </c>
      <c r="W21" t="s">
        <v>72</v>
      </c>
      <c r="X21" t="s">
        <v>29</v>
      </c>
    </row>
    <row r="22" spans="1:24" x14ac:dyDescent="0.25">
      <c r="A22">
        <v>21</v>
      </c>
      <c r="B22" t="s">
        <v>19</v>
      </c>
      <c r="C22" t="s">
        <v>53</v>
      </c>
      <c r="D22" t="s">
        <v>91</v>
      </c>
      <c r="E22" t="s">
        <v>299</v>
      </c>
      <c r="F22" t="s">
        <v>22</v>
      </c>
      <c r="G22" t="s">
        <v>23</v>
      </c>
      <c r="H22" t="s">
        <v>58</v>
      </c>
      <c r="I22" t="s">
        <v>92</v>
      </c>
      <c r="J22">
        <v>80</v>
      </c>
      <c r="K22" t="s">
        <v>25</v>
      </c>
      <c r="M22" t="s">
        <v>93</v>
      </c>
      <c r="N22" s="3">
        <v>7987</v>
      </c>
      <c r="O22" t="s">
        <v>27</v>
      </c>
      <c r="P22">
        <f>IF(OR(ISBLANK(Table1[[#This Row],[ميعاد التسليم]]),ISBLANK(Table1[[#This Row],[ميعاد الطلب]])),0,Table1[[#This Row],[ميعاد التسليم]]-Table1[[#This Row],[ميعاد الطلب]])</f>
        <v>10</v>
      </c>
      <c r="Q22">
        <f>IF(OR(ISBLANK(Table1[[#This Row],[تاريخ التسليم]]),ISBLANK(Table1[[#This Row],[ميعاد الطلب]])),0,Table1[[#This Row],[تاريخ التسليم]]-Table1[[#This Row],[ميعاد الطلب]])</f>
        <v>15</v>
      </c>
      <c r="R22">
        <f>Table1[[#This Row],[مدة التسليم (الهدف)]]-Table1[[#This Row],[مدة التسليم الفعلية]]</f>
        <v>-5</v>
      </c>
      <c r="S22" t="str">
        <f>IF(Table1[[#This Row],[Column1]]&lt;=0,"متأخرة","مسلمة في الموعد")</f>
        <v>متأخرة</v>
      </c>
      <c r="T22" s="1">
        <v>45541</v>
      </c>
      <c r="U22" s="1">
        <v>45551</v>
      </c>
      <c r="V22" s="1">
        <v>45556</v>
      </c>
      <c r="W22" t="s">
        <v>72</v>
      </c>
      <c r="X22" t="s">
        <v>29</v>
      </c>
    </row>
    <row r="23" spans="1:24" x14ac:dyDescent="0.25">
      <c r="A23">
        <v>22</v>
      </c>
      <c r="B23" t="s">
        <v>19</v>
      </c>
      <c r="C23" t="s">
        <v>53</v>
      </c>
      <c r="D23" t="s">
        <v>91</v>
      </c>
      <c r="E23" t="s">
        <v>299</v>
      </c>
      <c r="F23" t="s">
        <v>22</v>
      </c>
      <c r="G23" t="s">
        <v>23</v>
      </c>
      <c r="H23" t="s">
        <v>58</v>
      </c>
      <c r="I23" t="s">
        <v>92</v>
      </c>
      <c r="J23">
        <v>80</v>
      </c>
      <c r="K23" t="s">
        <v>25</v>
      </c>
      <c r="M23" t="s">
        <v>93</v>
      </c>
      <c r="N23" s="3">
        <v>7987</v>
      </c>
      <c r="O23" t="s">
        <v>27</v>
      </c>
      <c r="P23">
        <f>IF(OR(ISBLANK(Table1[[#This Row],[ميعاد التسليم]]),ISBLANK(Table1[[#This Row],[ميعاد الطلب]])),0,Table1[[#This Row],[ميعاد التسليم]]-Table1[[#This Row],[ميعاد الطلب]])</f>
        <v>10</v>
      </c>
      <c r="Q23">
        <f>IF(OR(ISBLANK(Table1[[#This Row],[تاريخ التسليم]]),ISBLANK(Table1[[#This Row],[ميعاد الطلب]])),0,Table1[[#This Row],[تاريخ التسليم]]-Table1[[#This Row],[ميعاد الطلب]])</f>
        <v>15</v>
      </c>
      <c r="R23">
        <f>Table1[[#This Row],[مدة التسليم (الهدف)]]-Table1[[#This Row],[مدة التسليم الفعلية]]</f>
        <v>-5</v>
      </c>
      <c r="S23" t="str">
        <f>IF(Table1[[#This Row],[Column1]]&lt;=0,"متأخرة","مسلمة في الموعد")</f>
        <v>متأخرة</v>
      </c>
      <c r="T23" s="1">
        <v>45541</v>
      </c>
      <c r="U23" s="1">
        <v>45551</v>
      </c>
      <c r="V23" s="1">
        <v>45556</v>
      </c>
      <c r="W23" t="s">
        <v>72</v>
      </c>
      <c r="X23" t="s">
        <v>29</v>
      </c>
    </row>
    <row r="24" spans="1:24" x14ac:dyDescent="0.25">
      <c r="A24">
        <v>23</v>
      </c>
      <c r="B24" t="s">
        <v>19</v>
      </c>
      <c r="C24" t="s">
        <v>53</v>
      </c>
      <c r="D24" t="s">
        <v>91</v>
      </c>
      <c r="E24" t="s">
        <v>299</v>
      </c>
      <c r="F24" t="s">
        <v>22</v>
      </c>
      <c r="G24" t="s">
        <v>23</v>
      </c>
      <c r="H24" t="s">
        <v>58</v>
      </c>
      <c r="I24" t="s">
        <v>92</v>
      </c>
      <c r="J24">
        <v>80</v>
      </c>
      <c r="K24" t="s">
        <v>25</v>
      </c>
      <c r="M24" t="s">
        <v>93</v>
      </c>
      <c r="N24" s="3">
        <v>7987</v>
      </c>
      <c r="O24" t="s">
        <v>27</v>
      </c>
      <c r="P24">
        <f>IF(OR(ISBLANK(Table1[[#This Row],[ميعاد التسليم]]),ISBLANK(Table1[[#This Row],[ميعاد الطلب]])),0,Table1[[#This Row],[ميعاد التسليم]]-Table1[[#This Row],[ميعاد الطلب]])</f>
        <v>10</v>
      </c>
      <c r="Q24">
        <f>IF(OR(ISBLANK(Table1[[#This Row],[تاريخ التسليم]]),ISBLANK(Table1[[#This Row],[ميعاد الطلب]])),0,Table1[[#This Row],[تاريخ التسليم]]-Table1[[#This Row],[ميعاد الطلب]])</f>
        <v>15</v>
      </c>
      <c r="R24">
        <f>Table1[[#This Row],[مدة التسليم (الهدف)]]-Table1[[#This Row],[مدة التسليم الفعلية]]</f>
        <v>-5</v>
      </c>
      <c r="S24" t="str">
        <f>IF(Table1[[#This Row],[Column1]]&lt;=0,"متأخرة","مسلمة في الموعد")</f>
        <v>متأخرة</v>
      </c>
      <c r="T24" s="1">
        <v>45541</v>
      </c>
      <c r="U24" s="1">
        <v>45551</v>
      </c>
      <c r="V24" s="1">
        <v>45556</v>
      </c>
      <c r="W24" t="s">
        <v>72</v>
      </c>
      <c r="X24" t="s">
        <v>29</v>
      </c>
    </row>
    <row r="25" spans="1:24" x14ac:dyDescent="0.25">
      <c r="A25">
        <v>24</v>
      </c>
      <c r="B25" t="s">
        <v>19</v>
      </c>
      <c r="C25" t="s">
        <v>97</v>
      </c>
      <c r="D25" t="s">
        <v>98</v>
      </c>
      <c r="F25" t="s">
        <v>22</v>
      </c>
      <c r="G25" t="s">
        <v>42</v>
      </c>
      <c r="H25" t="s">
        <v>80</v>
      </c>
      <c r="K25" t="s">
        <v>288</v>
      </c>
      <c r="M25" t="s">
        <v>81</v>
      </c>
      <c r="N25" s="3">
        <v>8849</v>
      </c>
      <c r="O25" t="s">
        <v>27</v>
      </c>
      <c r="P25">
        <f>IF(OR(ISBLANK(Table1[[#This Row],[ميعاد التسليم]]),ISBLANK(Table1[[#This Row],[ميعاد الطلب]])),0,Table1[[#This Row],[ميعاد التسليم]]-Table1[[#This Row],[ميعاد الطلب]])</f>
        <v>43</v>
      </c>
      <c r="Q25">
        <f>IF(OR(ISBLANK(Table1[[#This Row],[تاريخ التسليم]]),ISBLANK(Table1[[#This Row],[ميعاد الطلب]])),0,Table1[[#This Row],[تاريخ التسليم]]-Table1[[#This Row],[ميعاد الطلب]])</f>
        <v>0</v>
      </c>
      <c r="R25">
        <f>Table1[[#This Row],[مدة التسليم (الهدف)]]-Table1[[#This Row],[مدة التسليم الفعلية]]</f>
        <v>43</v>
      </c>
      <c r="S25" t="str">
        <f>IF(Table1[[#This Row],[Column1]]&lt;=0,"متأخرة","مسلمة في الموعد")</f>
        <v>مسلمة في الموعد</v>
      </c>
      <c r="T25" s="1">
        <v>45538</v>
      </c>
      <c r="U25" s="1">
        <v>45581</v>
      </c>
      <c r="X25" t="s">
        <v>69</v>
      </c>
    </row>
    <row r="26" spans="1:24" x14ac:dyDescent="0.25">
      <c r="A26">
        <v>25</v>
      </c>
      <c r="B26" t="s">
        <v>19</v>
      </c>
      <c r="C26" t="s">
        <v>99</v>
      </c>
      <c r="D26" t="s">
        <v>57</v>
      </c>
      <c r="E26" t="s">
        <v>297</v>
      </c>
      <c r="F26" t="s">
        <v>22</v>
      </c>
      <c r="G26" t="s">
        <v>23</v>
      </c>
      <c r="H26" t="s">
        <v>58</v>
      </c>
      <c r="I26" t="s">
        <v>100</v>
      </c>
      <c r="J26">
        <v>120</v>
      </c>
      <c r="K26" t="s">
        <v>25</v>
      </c>
      <c r="M26" t="s">
        <v>101</v>
      </c>
      <c r="N26" s="3">
        <v>10987</v>
      </c>
      <c r="O26" t="s">
        <v>27</v>
      </c>
      <c r="P26">
        <f>IF(OR(ISBLANK(Table1[[#This Row],[ميعاد التسليم]]),ISBLANK(Table1[[#This Row],[ميعاد الطلب]])),0,Table1[[#This Row],[ميعاد التسليم]]-Table1[[#This Row],[ميعاد الطلب]])</f>
        <v>8</v>
      </c>
      <c r="Q26">
        <f>IF(OR(ISBLANK(Table1[[#This Row],[تاريخ التسليم]]),ISBLANK(Table1[[#This Row],[ميعاد الطلب]])),0,Table1[[#This Row],[تاريخ التسليم]]-Table1[[#This Row],[ميعاد الطلب]])</f>
        <v>12</v>
      </c>
      <c r="R26">
        <f>Table1[[#This Row],[مدة التسليم (الهدف)]]-Table1[[#This Row],[مدة التسليم الفعلية]]</f>
        <v>-4</v>
      </c>
      <c r="S26" t="str">
        <f>IF(Table1[[#This Row],[Column1]]&lt;=0,"متأخرة","مسلمة في الموعد")</f>
        <v>متأخرة</v>
      </c>
      <c r="T26" s="1">
        <v>45544</v>
      </c>
      <c r="U26" s="1">
        <v>45552</v>
      </c>
      <c r="V26" s="1">
        <v>45556</v>
      </c>
      <c r="W26" t="s">
        <v>72</v>
      </c>
      <c r="X26" t="s">
        <v>29</v>
      </c>
    </row>
    <row r="27" spans="1:24" x14ac:dyDescent="0.25">
      <c r="A27">
        <v>26</v>
      </c>
      <c r="B27" t="s">
        <v>48</v>
      </c>
      <c r="C27" t="s">
        <v>49</v>
      </c>
      <c r="F27" t="s">
        <v>49</v>
      </c>
      <c r="G27" t="s">
        <v>23</v>
      </c>
      <c r="H27" t="s">
        <v>36</v>
      </c>
      <c r="I27" t="s">
        <v>89</v>
      </c>
      <c r="J27">
        <v>100</v>
      </c>
      <c r="K27" t="s">
        <v>25</v>
      </c>
      <c r="M27" t="s">
        <v>102</v>
      </c>
      <c r="N27" s="3">
        <v>9208</v>
      </c>
      <c r="O27">
        <v>5781.75</v>
      </c>
      <c r="P27">
        <f>IF(OR(ISBLANK(Table1[[#This Row],[ميعاد التسليم]]),ISBLANK(Table1[[#This Row],[ميعاد الطلب]])),0,Table1[[#This Row],[ميعاد التسليم]]-Table1[[#This Row],[ميعاد الطلب]])</f>
        <v>18</v>
      </c>
      <c r="Q27">
        <f>IF(OR(ISBLANK(Table1[[#This Row],[تاريخ التسليم]]),ISBLANK(Table1[[#This Row],[ميعاد الطلب]])),0,Table1[[#This Row],[تاريخ التسليم]]-Table1[[#This Row],[ميعاد الطلب]])</f>
        <v>20</v>
      </c>
      <c r="R27">
        <f>Table1[[#This Row],[مدة التسليم (الهدف)]]-Table1[[#This Row],[مدة التسليم الفعلية]]</f>
        <v>-2</v>
      </c>
      <c r="S27" t="str">
        <f>IF(Table1[[#This Row],[Column1]]&lt;=0,"متأخرة","مسلمة في الموعد")</f>
        <v>متأخرة</v>
      </c>
      <c r="T27" s="1">
        <v>45536</v>
      </c>
      <c r="U27" s="1">
        <v>45554</v>
      </c>
      <c r="V27" s="1">
        <v>45556</v>
      </c>
      <c r="W27" t="s">
        <v>72</v>
      </c>
      <c r="X27" t="s">
        <v>29</v>
      </c>
    </row>
    <row r="28" spans="1:24" x14ac:dyDescent="0.25">
      <c r="A28">
        <v>27</v>
      </c>
      <c r="B28" t="s">
        <v>48</v>
      </c>
      <c r="C28" t="s">
        <v>49</v>
      </c>
      <c r="F28" t="s">
        <v>49</v>
      </c>
      <c r="G28" t="s">
        <v>23</v>
      </c>
      <c r="H28" t="s">
        <v>36</v>
      </c>
      <c r="I28" t="s">
        <v>89</v>
      </c>
      <c r="J28">
        <v>100</v>
      </c>
      <c r="K28" t="s">
        <v>32</v>
      </c>
      <c r="M28" t="s">
        <v>104</v>
      </c>
      <c r="N28" s="3">
        <v>9208</v>
      </c>
      <c r="O28">
        <v>1278.53</v>
      </c>
      <c r="P28">
        <f>IF(OR(ISBLANK(Table1[[#This Row],[ميعاد التسليم]]),ISBLANK(Table1[[#This Row],[ميعاد الطلب]])),0,Table1[[#This Row],[ميعاد التسليم]]-Table1[[#This Row],[ميعاد الطلب]])</f>
        <v>18</v>
      </c>
      <c r="Q28">
        <f>IF(OR(ISBLANK(Table1[[#This Row],[تاريخ التسليم]]),ISBLANK(Table1[[#This Row],[ميعاد الطلب]])),0,Table1[[#This Row],[تاريخ التسليم]]-Table1[[#This Row],[ميعاد الطلب]])</f>
        <v>20</v>
      </c>
      <c r="R28">
        <f>Table1[[#This Row],[مدة التسليم (الهدف)]]-Table1[[#This Row],[مدة التسليم الفعلية]]</f>
        <v>-2</v>
      </c>
      <c r="S28" t="str">
        <f>IF(Table1[[#This Row],[Column1]]&lt;=0,"متأخرة","مسلمة في الموعد")</f>
        <v>متأخرة</v>
      </c>
      <c r="T28" s="1">
        <v>45536</v>
      </c>
      <c r="U28" s="1">
        <v>45554</v>
      </c>
      <c r="V28" s="1">
        <v>45556</v>
      </c>
      <c r="W28" t="s">
        <v>72</v>
      </c>
      <c r="X28" t="s">
        <v>29</v>
      </c>
    </row>
    <row r="29" spans="1:24" x14ac:dyDescent="0.25">
      <c r="A29">
        <v>28</v>
      </c>
      <c r="B29" t="s">
        <v>48</v>
      </c>
      <c r="C29" t="s">
        <v>105</v>
      </c>
      <c r="D29" t="s">
        <v>106</v>
      </c>
      <c r="E29" t="s">
        <v>300</v>
      </c>
      <c r="F29" t="s">
        <v>85</v>
      </c>
      <c r="G29" t="s">
        <v>23</v>
      </c>
      <c r="H29" t="s">
        <v>58</v>
      </c>
      <c r="I29" t="s">
        <v>92</v>
      </c>
      <c r="J29">
        <v>120</v>
      </c>
      <c r="K29" t="s">
        <v>25</v>
      </c>
      <c r="M29" t="s">
        <v>107</v>
      </c>
      <c r="N29" s="3">
        <v>4020</v>
      </c>
      <c r="O29" t="s">
        <v>108</v>
      </c>
      <c r="P29">
        <f>IF(OR(ISBLANK(Table1[[#This Row],[ميعاد التسليم]]),ISBLANK(Table1[[#This Row],[ميعاد الطلب]])),0,Table1[[#This Row],[ميعاد التسليم]]-Table1[[#This Row],[ميعاد الطلب]])</f>
        <v>9</v>
      </c>
      <c r="Q29">
        <f>IF(OR(ISBLANK(Table1[[#This Row],[تاريخ التسليم]]),ISBLANK(Table1[[#This Row],[ميعاد الطلب]])),0,Table1[[#This Row],[تاريخ التسليم]]-Table1[[#This Row],[ميعاد الطلب]])</f>
        <v>10</v>
      </c>
      <c r="R29">
        <f>Table1[[#This Row],[مدة التسليم (الهدف)]]-Table1[[#This Row],[مدة التسليم الفعلية]]</f>
        <v>-1</v>
      </c>
      <c r="S29" t="str">
        <f>IF(Table1[[#This Row],[Column1]]&lt;=0,"متأخرة","مسلمة في الموعد")</f>
        <v>متأخرة</v>
      </c>
      <c r="T29" s="1">
        <v>45547</v>
      </c>
      <c r="U29" s="1">
        <v>45556</v>
      </c>
      <c r="V29" s="1">
        <v>45557</v>
      </c>
      <c r="W29" t="s">
        <v>72</v>
      </c>
      <c r="X29" t="s">
        <v>29</v>
      </c>
    </row>
    <row r="30" spans="1:24" x14ac:dyDescent="0.25">
      <c r="A30">
        <v>29</v>
      </c>
      <c r="B30" t="s">
        <v>48</v>
      </c>
      <c r="C30" t="s">
        <v>105</v>
      </c>
      <c r="D30" t="s">
        <v>106</v>
      </c>
      <c r="E30" t="s">
        <v>300</v>
      </c>
      <c r="F30" t="s">
        <v>85</v>
      </c>
      <c r="G30" t="s">
        <v>23</v>
      </c>
      <c r="H30" t="s">
        <v>58</v>
      </c>
      <c r="I30" t="s">
        <v>92</v>
      </c>
      <c r="J30">
        <v>120</v>
      </c>
      <c r="K30" t="s">
        <v>25</v>
      </c>
      <c r="M30" t="s">
        <v>107</v>
      </c>
      <c r="N30" s="3">
        <v>4020</v>
      </c>
      <c r="O30" t="s">
        <v>108</v>
      </c>
      <c r="P30">
        <f>IF(OR(ISBLANK(Table1[[#This Row],[ميعاد التسليم]]),ISBLANK(Table1[[#This Row],[ميعاد الطلب]])),0,Table1[[#This Row],[ميعاد التسليم]]-Table1[[#This Row],[ميعاد الطلب]])</f>
        <v>9</v>
      </c>
      <c r="Q30">
        <f>IF(OR(ISBLANK(Table1[[#This Row],[تاريخ التسليم]]),ISBLANK(Table1[[#This Row],[ميعاد الطلب]])),0,Table1[[#This Row],[تاريخ التسليم]]-Table1[[#This Row],[ميعاد الطلب]])</f>
        <v>10</v>
      </c>
      <c r="R30">
        <f>Table1[[#This Row],[مدة التسليم (الهدف)]]-Table1[[#This Row],[مدة التسليم الفعلية]]</f>
        <v>-1</v>
      </c>
      <c r="S30" t="str">
        <f>IF(Table1[[#This Row],[Column1]]&lt;=0,"متأخرة","مسلمة في الموعد")</f>
        <v>متأخرة</v>
      </c>
      <c r="T30" s="1">
        <v>45547</v>
      </c>
      <c r="U30" s="1">
        <v>45556</v>
      </c>
      <c r="V30" s="1">
        <v>45557</v>
      </c>
      <c r="W30" t="s">
        <v>72</v>
      </c>
      <c r="X30" t="s">
        <v>29</v>
      </c>
    </row>
    <row r="31" spans="1:24" x14ac:dyDescent="0.25">
      <c r="A31">
        <v>30</v>
      </c>
      <c r="B31" t="s">
        <v>48</v>
      </c>
      <c r="C31" t="s">
        <v>105</v>
      </c>
      <c r="D31" t="s">
        <v>106</v>
      </c>
      <c r="E31" t="s">
        <v>300</v>
      </c>
      <c r="F31" t="s">
        <v>85</v>
      </c>
      <c r="G31" t="s">
        <v>23</v>
      </c>
      <c r="H31" t="s">
        <v>58</v>
      </c>
      <c r="I31" t="s">
        <v>109</v>
      </c>
      <c r="J31">
        <v>120</v>
      </c>
      <c r="K31" t="s">
        <v>32</v>
      </c>
      <c r="M31" t="s">
        <v>110</v>
      </c>
      <c r="N31" s="3">
        <v>4020</v>
      </c>
      <c r="O31" t="s">
        <v>111</v>
      </c>
      <c r="P31">
        <f>IF(OR(ISBLANK(Table1[[#This Row],[ميعاد التسليم]]),ISBLANK(Table1[[#This Row],[ميعاد الطلب]])),0,Table1[[#This Row],[ميعاد التسليم]]-Table1[[#This Row],[ميعاد الطلب]])</f>
        <v>9</v>
      </c>
      <c r="Q31">
        <f>IF(OR(ISBLANK(Table1[[#This Row],[تاريخ التسليم]]),ISBLANK(Table1[[#This Row],[ميعاد الطلب]])),0,Table1[[#This Row],[تاريخ التسليم]]-Table1[[#This Row],[ميعاد الطلب]])</f>
        <v>10</v>
      </c>
      <c r="R31">
        <f>Table1[[#This Row],[مدة التسليم (الهدف)]]-Table1[[#This Row],[مدة التسليم الفعلية]]</f>
        <v>-1</v>
      </c>
      <c r="S31" t="str">
        <f>IF(Table1[[#This Row],[Column1]]&lt;=0,"متأخرة","مسلمة في الموعد")</f>
        <v>متأخرة</v>
      </c>
      <c r="T31" s="1">
        <v>45547</v>
      </c>
      <c r="U31" s="1">
        <v>45556</v>
      </c>
      <c r="V31" s="1">
        <v>45557</v>
      </c>
      <c r="W31" t="s">
        <v>72</v>
      </c>
      <c r="X31" t="s">
        <v>29</v>
      </c>
    </row>
    <row r="32" spans="1:24" x14ac:dyDescent="0.25">
      <c r="A32">
        <v>31</v>
      </c>
      <c r="B32" t="s">
        <v>48</v>
      </c>
      <c r="C32" t="s">
        <v>105</v>
      </c>
      <c r="D32" t="s">
        <v>106</v>
      </c>
      <c r="E32" t="s">
        <v>300</v>
      </c>
      <c r="F32" t="s">
        <v>85</v>
      </c>
      <c r="G32" t="s">
        <v>23</v>
      </c>
      <c r="H32" t="s">
        <v>58</v>
      </c>
      <c r="I32" t="s">
        <v>109</v>
      </c>
      <c r="J32">
        <v>120</v>
      </c>
      <c r="K32" t="s">
        <v>32</v>
      </c>
      <c r="M32" t="s">
        <v>110</v>
      </c>
      <c r="N32" s="3">
        <v>4020</v>
      </c>
      <c r="O32" t="s">
        <v>111</v>
      </c>
      <c r="P32">
        <f>IF(OR(ISBLANK(Table1[[#This Row],[ميعاد التسليم]]),ISBLANK(Table1[[#This Row],[ميعاد الطلب]])),0,Table1[[#This Row],[ميعاد التسليم]]-Table1[[#This Row],[ميعاد الطلب]])</f>
        <v>9</v>
      </c>
      <c r="Q32">
        <f>IF(OR(ISBLANK(Table1[[#This Row],[تاريخ التسليم]]),ISBLANK(Table1[[#This Row],[ميعاد الطلب]])),0,Table1[[#This Row],[تاريخ التسليم]]-Table1[[#This Row],[ميعاد الطلب]])</f>
        <v>10</v>
      </c>
      <c r="R32">
        <f>Table1[[#This Row],[مدة التسليم (الهدف)]]-Table1[[#This Row],[مدة التسليم الفعلية]]</f>
        <v>-1</v>
      </c>
      <c r="S32" t="str">
        <f>IF(Table1[[#This Row],[Column1]]&lt;=0,"متأخرة","مسلمة في الموعد")</f>
        <v>متأخرة</v>
      </c>
      <c r="T32" s="1">
        <v>45547</v>
      </c>
      <c r="U32" s="1">
        <v>45556</v>
      </c>
      <c r="V32" s="1">
        <v>45557</v>
      </c>
      <c r="W32" t="s">
        <v>72</v>
      </c>
      <c r="X32" t="s">
        <v>29</v>
      </c>
    </row>
    <row r="33" spans="1:24" x14ac:dyDescent="0.25">
      <c r="A33">
        <v>32</v>
      </c>
      <c r="B33" t="s">
        <v>19</v>
      </c>
      <c r="C33" t="s">
        <v>112</v>
      </c>
      <c r="D33" t="s">
        <v>113</v>
      </c>
      <c r="F33" t="s">
        <v>22</v>
      </c>
      <c r="G33" t="s">
        <v>23</v>
      </c>
      <c r="H33" t="s">
        <v>24</v>
      </c>
      <c r="K33" t="s">
        <v>32</v>
      </c>
      <c r="L33" t="s">
        <v>32</v>
      </c>
      <c r="M33" t="s">
        <v>114</v>
      </c>
      <c r="N33" s="3">
        <v>9399</v>
      </c>
      <c r="O33" t="s">
        <v>111</v>
      </c>
      <c r="P33">
        <f>IF(OR(ISBLANK(Table1[[#This Row],[ميعاد التسليم]]),ISBLANK(Table1[[#This Row],[ميعاد الطلب]])),0,Table1[[#This Row],[ميعاد التسليم]]-Table1[[#This Row],[ميعاد الطلب]])</f>
        <v>0</v>
      </c>
      <c r="Q33">
        <f>IF(OR(ISBLANK(Table1[[#This Row],[تاريخ التسليم]]),ISBLANK(Table1[[#This Row],[ميعاد الطلب]])),0,Table1[[#This Row],[تاريخ التسليم]]-Table1[[#This Row],[ميعاد الطلب]])</f>
        <v>0</v>
      </c>
      <c r="R33">
        <f>Table1[[#This Row],[مدة التسليم (الهدف)]]-Table1[[#This Row],[مدة التسليم الفعلية]]</f>
        <v>0</v>
      </c>
      <c r="S33" t="str">
        <f>IF(Table1[[#This Row],[Column1]]&lt;=0,"متأخرة","مسلمة في الموعد")</f>
        <v>متأخرة</v>
      </c>
      <c r="U33" s="1">
        <v>45557</v>
      </c>
      <c r="W33" t="s">
        <v>68</v>
      </c>
      <c r="X33" t="s">
        <v>69</v>
      </c>
    </row>
    <row r="34" spans="1:24" x14ac:dyDescent="0.25">
      <c r="A34">
        <v>33</v>
      </c>
      <c r="B34" t="s">
        <v>19</v>
      </c>
      <c r="C34" t="s">
        <v>115</v>
      </c>
      <c r="D34" t="s">
        <v>116</v>
      </c>
      <c r="E34" t="s">
        <v>298</v>
      </c>
      <c r="F34" t="s">
        <v>22</v>
      </c>
      <c r="G34" t="s">
        <v>42</v>
      </c>
      <c r="H34" t="s">
        <v>117</v>
      </c>
      <c r="K34" t="s">
        <v>288</v>
      </c>
      <c r="M34" t="s">
        <v>118</v>
      </c>
      <c r="N34" s="3">
        <v>8349</v>
      </c>
      <c r="O34" t="s">
        <v>111</v>
      </c>
      <c r="P34">
        <f>IF(OR(ISBLANK(Table1[[#This Row],[ميعاد التسليم]]),ISBLANK(Table1[[#This Row],[ميعاد الطلب]])),0,Table1[[#This Row],[ميعاد التسليم]]-Table1[[#This Row],[ميعاد الطلب]])</f>
        <v>8</v>
      </c>
      <c r="Q34">
        <f>IF(OR(ISBLANK(Table1[[#This Row],[تاريخ التسليم]]),ISBLANK(Table1[[#This Row],[ميعاد الطلب]])),0,Table1[[#This Row],[تاريخ التسليم]]-Table1[[#This Row],[ميعاد الطلب]])</f>
        <v>10</v>
      </c>
      <c r="R34">
        <f>Table1[[#This Row],[مدة التسليم (الهدف)]]-Table1[[#This Row],[مدة التسليم الفعلية]]</f>
        <v>-2</v>
      </c>
      <c r="S34" t="str">
        <f>IF(Table1[[#This Row],[Column1]]&lt;=0,"متأخرة","مسلمة في الموعد")</f>
        <v>متأخرة</v>
      </c>
      <c r="T34" s="1">
        <v>45549</v>
      </c>
      <c r="U34" s="1">
        <v>45557</v>
      </c>
      <c r="V34" s="1">
        <v>45559</v>
      </c>
      <c r="W34" t="s">
        <v>28</v>
      </c>
      <c r="X34" t="s">
        <v>29</v>
      </c>
    </row>
    <row r="35" spans="1:24" x14ac:dyDescent="0.25">
      <c r="A35">
        <v>34</v>
      </c>
      <c r="B35" t="s">
        <v>19</v>
      </c>
      <c r="C35" t="s">
        <v>119</v>
      </c>
      <c r="D35" t="s">
        <v>57</v>
      </c>
      <c r="E35" t="s">
        <v>297</v>
      </c>
      <c r="F35" t="s">
        <v>22</v>
      </c>
      <c r="G35" t="s">
        <v>23</v>
      </c>
      <c r="H35" t="s">
        <v>24</v>
      </c>
      <c r="K35" t="s">
        <v>32</v>
      </c>
      <c r="L35" t="s">
        <v>32</v>
      </c>
      <c r="M35" t="s">
        <v>120</v>
      </c>
      <c r="N35" s="3">
        <v>9399</v>
      </c>
      <c r="O35" t="s">
        <v>27</v>
      </c>
      <c r="P35">
        <f>IF(OR(ISBLANK(Table1[[#This Row],[ميعاد التسليم]]),ISBLANK(Table1[[#This Row],[ميعاد الطلب]])),0,Table1[[#This Row],[ميعاد التسليم]]-Table1[[#This Row],[ميعاد الطلب]])</f>
        <v>11</v>
      </c>
      <c r="Q35">
        <f>IF(OR(ISBLANK(Table1[[#This Row],[تاريخ التسليم]]),ISBLANK(Table1[[#This Row],[ميعاد الطلب]])),0,Table1[[#This Row],[تاريخ التسليم]]-Table1[[#This Row],[ميعاد الطلب]])</f>
        <v>0</v>
      </c>
      <c r="R35">
        <f>Table1[[#This Row],[مدة التسليم (الهدف)]]-Table1[[#This Row],[مدة التسليم الفعلية]]</f>
        <v>11</v>
      </c>
      <c r="S35" t="str">
        <f>IF(Table1[[#This Row],[Column1]]&lt;=0,"متأخرة","مسلمة في الموعد")</f>
        <v>مسلمة في الموعد</v>
      </c>
      <c r="T35" s="1">
        <v>45548</v>
      </c>
      <c r="U35" s="1">
        <v>45559</v>
      </c>
      <c r="W35" t="s">
        <v>28</v>
      </c>
      <c r="X35" t="s">
        <v>29</v>
      </c>
    </row>
    <row r="36" spans="1:24" x14ac:dyDescent="0.25">
      <c r="A36">
        <v>35</v>
      </c>
      <c r="B36" t="s">
        <v>19</v>
      </c>
      <c r="C36" t="s">
        <v>121</v>
      </c>
      <c r="D36" t="s">
        <v>122</v>
      </c>
      <c r="E36" t="s">
        <v>299</v>
      </c>
      <c r="F36" t="s">
        <v>22</v>
      </c>
      <c r="G36" t="s">
        <v>42</v>
      </c>
      <c r="H36" t="s">
        <v>80</v>
      </c>
      <c r="K36" t="s">
        <v>288</v>
      </c>
      <c r="M36" t="s">
        <v>81</v>
      </c>
      <c r="N36" s="3">
        <v>7849</v>
      </c>
      <c r="O36">
        <v>7928</v>
      </c>
      <c r="P36">
        <f>IF(OR(ISBLANK(Table1[[#This Row],[ميعاد التسليم]]),ISBLANK(Table1[[#This Row],[ميعاد الطلب]])),0,Table1[[#This Row],[ميعاد التسليم]]-Table1[[#This Row],[ميعاد الطلب]])</f>
        <v>14</v>
      </c>
      <c r="Q36">
        <f>IF(OR(ISBLANK(Table1[[#This Row],[تاريخ التسليم]]),ISBLANK(Table1[[#This Row],[ميعاد الطلب]])),0,Table1[[#This Row],[تاريخ التسليم]]-Table1[[#This Row],[ميعاد الطلب]])</f>
        <v>0</v>
      </c>
      <c r="R36">
        <f>Table1[[#This Row],[مدة التسليم (الهدف)]]-Table1[[#This Row],[مدة التسليم الفعلية]]</f>
        <v>14</v>
      </c>
      <c r="S36" t="str">
        <f>IF(Table1[[#This Row],[Column1]]&lt;=0,"متأخرة","مسلمة في الموعد")</f>
        <v>مسلمة في الموعد</v>
      </c>
      <c r="T36" s="1">
        <v>45547</v>
      </c>
      <c r="U36" s="1">
        <v>45561</v>
      </c>
      <c r="W36" t="s">
        <v>28</v>
      </c>
      <c r="X36" t="s">
        <v>29</v>
      </c>
    </row>
    <row r="37" spans="1:24" x14ac:dyDescent="0.25">
      <c r="A37">
        <v>36</v>
      </c>
      <c r="B37" t="s">
        <v>19</v>
      </c>
      <c r="C37" t="s">
        <v>123</v>
      </c>
      <c r="D37" t="s">
        <v>124</v>
      </c>
      <c r="F37" t="s">
        <v>55</v>
      </c>
      <c r="G37" t="s">
        <v>23</v>
      </c>
      <c r="H37" t="s">
        <v>125</v>
      </c>
      <c r="I37" t="s">
        <v>37</v>
      </c>
      <c r="J37">
        <v>100</v>
      </c>
      <c r="K37" t="s">
        <v>32</v>
      </c>
      <c r="M37" t="s">
        <v>126</v>
      </c>
      <c r="N37" s="3">
        <v>9450</v>
      </c>
      <c r="O37">
        <v>9450</v>
      </c>
      <c r="P37">
        <f>IF(OR(ISBLANK(Table1[[#This Row],[ميعاد التسليم]]),ISBLANK(Table1[[#This Row],[ميعاد الطلب]])),0,Table1[[#This Row],[ميعاد التسليم]]-Table1[[#This Row],[ميعاد الطلب]])</f>
        <v>14</v>
      </c>
      <c r="Q37">
        <f>IF(OR(ISBLANK(Table1[[#This Row],[تاريخ التسليم]]),ISBLANK(Table1[[#This Row],[ميعاد الطلب]])),0,Table1[[#This Row],[تاريخ التسليم]]-Table1[[#This Row],[ميعاد الطلب]])</f>
        <v>0</v>
      </c>
      <c r="R37">
        <f>Table1[[#This Row],[مدة التسليم (الهدف)]]-Table1[[#This Row],[مدة التسليم الفعلية]]</f>
        <v>14</v>
      </c>
      <c r="S37" t="str">
        <f>IF(Table1[[#This Row],[Column1]]&lt;=0,"متأخرة","مسلمة في الموعد")</f>
        <v>مسلمة في الموعد</v>
      </c>
      <c r="T37" s="1">
        <v>45547</v>
      </c>
      <c r="U37" s="1">
        <v>45561</v>
      </c>
      <c r="X37" t="s">
        <v>69</v>
      </c>
    </row>
    <row r="38" spans="1:24" x14ac:dyDescent="0.25">
      <c r="A38">
        <v>37</v>
      </c>
      <c r="B38" t="s">
        <v>19</v>
      </c>
      <c r="C38" t="s">
        <v>127</v>
      </c>
      <c r="D38" t="s">
        <v>91</v>
      </c>
      <c r="E38" t="s">
        <v>299</v>
      </c>
      <c r="F38" t="s">
        <v>22</v>
      </c>
      <c r="G38" t="s">
        <v>23</v>
      </c>
      <c r="H38" t="s">
        <v>58</v>
      </c>
      <c r="I38" t="s">
        <v>100</v>
      </c>
      <c r="J38">
        <v>120</v>
      </c>
      <c r="K38" t="s">
        <v>32</v>
      </c>
      <c r="M38" t="s">
        <v>128</v>
      </c>
      <c r="N38" s="3">
        <v>7460</v>
      </c>
      <c r="O38" t="s">
        <v>27</v>
      </c>
      <c r="P38">
        <f>IF(OR(ISBLANK(Table1[[#This Row],[ميعاد التسليم]]),ISBLANK(Table1[[#This Row],[ميعاد الطلب]])),0,Table1[[#This Row],[ميعاد التسليم]]-Table1[[#This Row],[ميعاد الطلب]])</f>
        <v>13</v>
      </c>
      <c r="Q38">
        <f>IF(OR(ISBLANK(Table1[[#This Row],[تاريخ التسليم]]),ISBLANK(Table1[[#This Row],[ميعاد الطلب]])),0,Table1[[#This Row],[تاريخ التسليم]]-Table1[[#This Row],[ميعاد الطلب]])</f>
        <v>20</v>
      </c>
      <c r="R38">
        <f>Table1[[#This Row],[مدة التسليم (الهدف)]]-Table1[[#This Row],[مدة التسليم الفعلية]]</f>
        <v>-7</v>
      </c>
      <c r="S38" t="str">
        <f>IF(Table1[[#This Row],[Column1]]&lt;=0,"متأخرة","مسلمة في الموعد")</f>
        <v>متأخرة</v>
      </c>
      <c r="T38" s="1">
        <v>45548</v>
      </c>
      <c r="U38" s="1">
        <v>45561</v>
      </c>
      <c r="V38" s="1">
        <v>45568</v>
      </c>
      <c r="W38" t="s">
        <v>72</v>
      </c>
      <c r="X38" t="s">
        <v>29</v>
      </c>
    </row>
    <row r="39" spans="1:24" x14ac:dyDescent="0.25">
      <c r="A39">
        <v>38</v>
      </c>
      <c r="B39" t="s">
        <v>19</v>
      </c>
      <c r="C39" t="s">
        <v>129</v>
      </c>
      <c r="D39" t="s">
        <v>91</v>
      </c>
      <c r="E39" t="s">
        <v>299</v>
      </c>
      <c r="F39" t="s">
        <v>22</v>
      </c>
      <c r="G39" t="s">
        <v>23</v>
      </c>
      <c r="H39" t="s">
        <v>58</v>
      </c>
      <c r="I39" t="s">
        <v>130</v>
      </c>
      <c r="J39">
        <v>140</v>
      </c>
      <c r="K39" t="s">
        <v>131</v>
      </c>
      <c r="L39" t="s">
        <v>46</v>
      </c>
      <c r="M39" t="s">
        <v>132</v>
      </c>
      <c r="N39" s="3">
        <v>9528</v>
      </c>
      <c r="O39" t="s">
        <v>27</v>
      </c>
      <c r="P39">
        <f>IF(OR(ISBLANK(Table1[[#This Row],[ميعاد التسليم]]),ISBLANK(Table1[[#This Row],[ميعاد الطلب]])),0,Table1[[#This Row],[ميعاد التسليم]]-Table1[[#This Row],[ميعاد الطلب]])</f>
        <v>13</v>
      </c>
      <c r="Q39">
        <f>IF(OR(ISBLANK(Table1[[#This Row],[تاريخ التسليم]]),ISBLANK(Table1[[#This Row],[ميعاد الطلب]])),0,Table1[[#This Row],[تاريخ التسليم]]-Table1[[#This Row],[ميعاد الطلب]])</f>
        <v>20</v>
      </c>
      <c r="R39">
        <f>Table1[[#This Row],[مدة التسليم (الهدف)]]-Table1[[#This Row],[مدة التسليم الفعلية]]</f>
        <v>-7</v>
      </c>
      <c r="S39" t="str">
        <f>IF(Table1[[#This Row],[Column1]]&lt;=0,"متأخرة","مسلمة في الموعد")</f>
        <v>متأخرة</v>
      </c>
      <c r="T39" s="1">
        <v>45548</v>
      </c>
      <c r="U39" s="1">
        <v>45561</v>
      </c>
      <c r="V39" s="1">
        <v>45568</v>
      </c>
      <c r="W39" t="s">
        <v>72</v>
      </c>
      <c r="X39" t="s">
        <v>29</v>
      </c>
    </row>
    <row r="40" spans="1:24" x14ac:dyDescent="0.25">
      <c r="A40">
        <v>39</v>
      </c>
      <c r="B40" t="s">
        <v>19</v>
      </c>
      <c r="C40" t="s">
        <v>133</v>
      </c>
      <c r="D40" t="s">
        <v>57</v>
      </c>
      <c r="E40" t="s">
        <v>297</v>
      </c>
      <c r="F40" t="s">
        <v>22</v>
      </c>
      <c r="G40" t="s">
        <v>23</v>
      </c>
      <c r="H40" t="s">
        <v>36</v>
      </c>
      <c r="I40" t="s">
        <v>37</v>
      </c>
      <c r="J40">
        <v>120</v>
      </c>
      <c r="K40" t="s">
        <v>46</v>
      </c>
      <c r="M40" t="s">
        <v>134</v>
      </c>
      <c r="N40" s="3">
        <v>12999</v>
      </c>
      <c r="O40" t="s">
        <v>27</v>
      </c>
      <c r="P40">
        <f>IF(OR(ISBLANK(Table1[[#This Row],[ميعاد التسليم]]),ISBLANK(Table1[[#This Row],[ميعاد الطلب]])),0,Table1[[#This Row],[ميعاد التسليم]]-Table1[[#This Row],[ميعاد الطلب]])</f>
        <v>13</v>
      </c>
      <c r="Q40">
        <f>IF(OR(ISBLANK(Table1[[#This Row],[تاريخ التسليم]]),ISBLANK(Table1[[#This Row],[ميعاد الطلب]])),0,Table1[[#This Row],[تاريخ التسليم]]-Table1[[#This Row],[ميعاد الطلب]])</f>
        <v>18</v>
      </c>
      <c r="R40">
        <f>Table1[[#This Row],[مدة التسليم (الهدف)]]-Table1[[#This Row],[مدة التسليم الفعلية]]</f>
        <v>-5</v>
      </c>
      <c r="S40" t="str">
        <f>IF(Table1[[#This Row],[Column1]]&lt;=0,"متأخرة","مسلمة في الموعد")</f>
        <v>متأخرة</v>
      </c>
      <c r="T40" s="1">
        <v>45549</v>
      </c>
      <c r="U40" s="1">
        <v>45562</v>
      </c>
      <c r="V40" s="1">
        <v>45567</v>
      </c>
      <c r="W40" t="s">
        <v>72</v>
      </c>
      <c r="X40" t="s">
        <v>29</v>
      </c>
    </row>
    <row r="41" spans="1:24" x14ac:dyDescent="0.25">
      <c r="A41">
        <v>40</v>
      </c>
      <c r="B41" t="s">
        <v>19</v>
      </c>
      <c r="C41" t="s">
        <v>135</v>
      </c>
      <c r="D41" t="s">
        <v>136</v>
      </c>
      <c r="E41" t="s">
        <v>299</v>
      </c>
      <c r="F41" t="s">
        <v>22</v>
      </c>
      <c r="G41" t="s">
        <v>23</v>
      </c>
      <c r="H41" t="s">
        <v>36</v>
      </c>
      <c r="I41" t="s">
        <v>45</v>
      </c>
      <c r="J41">
        <v>90</v>
      </c>
      <c r="K41" t="s">
        <v>32</v>
      </c>
      <c r="M41" t="s">
        <v>137</v>
      </c>
      <c r="N41" s="3">
        <v>5999</v>
      </c>
      <c r="O41" t="s">
        <v>27</v>
      </c>
      <c r="P41">
        <f>IF(OR(ISBLANK(Table1[[#This Row],[ميعاد التسليم]]),ISBLANK(Table1[[#This Row],[ميعاد الطلب]])),0,Table1[[#This Row],[ميعاد التسليم]]-Table1[[#This Row],[ميعاد الطلب]])</f>
        <v>17</v>
      </c>
      <c r="Q41">
        <f>IF(OR(ISBLANK(Table1[[#This Row],[تاريخ التسليم]]),ISBLANK(Table1[[#This Row],[ميعاد الطلب]])),0,Table1[[#This Row],[تاريخ التسليم]]-Table1[[#This Row],[ميعاد الطلب]])</f>
        <v>0</v>
      </c>
      <c r="R41">
        <f>Table1[[#This Row],[مدة التسليم (الهدف)]]-Table1[[#This Row],[مدة التسليم الفعلية]]</f>
        <v>17</v>
      </c>
      <c r="S41" t="str">
        <f>IF(Table1[[#This Row],[Column1]]&lt;=0,"متأخرة","مسلمة في الموعد")</f>
        <v>مسلمة في الموعد</v>
      </c>
      <c r="T41" s="1">
        <v>45547</v>
      </c>
      <c r="U41" s="1">
        <v>45564</v>
      </c>
      <c r="X41" t="s">
        <v>29</v>
      </c>
    </row>
    <row r="42" spans="1:24" x14ac:dyDescent="0.25">
      <c r="A42">
        <v>41</v>
      </c>
      <c r="B42" t="s">
        <v>19</v>
      </c>
      <c r="C42" t="s">
        <v>138</v>
      </c>
      <c r="D42" t="s">
        <v>139</v>
      </c>
      <c r="E42" t="s">
        <v>297</v>
      </c>
      <c r="F42" t="s">
        <v>22</v>
      </c>
      <c r="G42" t="s">
        <v>23</v>
      </c>
      <c r="H42" t="s">
        <v>36</v>
      </c>
      <c r="I42" t="s">
        <v>37</v>
      </c>
      <c r="J42">
        <v>100</v>
      </c>
      <c r="K42" t="s">
        <v>32</v>
      </c>
      <c r="M42" t="s">
        <v>140</v>
      </c>
      <c r="N42" s="3">
        <v>11949</v>
      </c>
      <c r="O42">
        <v>10749</v>
      </c>
      <c r="P42">
        <f>IF(OR(ISBLANK(Table1[[#This Row],[ميعاد التسليم]]),ISBLANK(Table1[[#This Row],[ميعاد الطلب]])),0,Table1[[#This Row],[ميعاد التسليم]]-Table1[[#This Row],[ميعاد الطلب]])</f>
        <v>17</v>
      </c>
      <c r="Q42">
        <f>IF(OR(ISBLANK(Table1[[#This Row],[تاريخ التسليم]]),ISBLANK(Table1[[#This Row],[ميعاد الطلب]])),0,Table1[[#This Row],[تاريخ التسليم]]-Table1[[#This Row],[ميعاد الطلب]])</f>
        <v>20</v>
      </c>
      <c r="R42">
        <f>Table1[[#This Row],[مدة التسليم (الهدف)]]-Table1[[#This Row],[مدة التسليم الفعلية]]</f>
        <v>-3</v>
      </c>
      <c r="S42" t="str">
        <f>IF(Table1[[#This Row],[Column1]]&lt;=0,"متأخرة","مسلمة في الموعد")</f>
        <v>متأخرة</v>
      </c>
      <c r="T42" s="1">
        <v>45547</v>
      </c>
      <c r="U42" s="1">
        <v>45564</v>
      </c>
      <c r="V42" s="1">
        <v>45567</v>
      </c>
      <c r="W42" t="s">
        <v>72</v>
      </c>
      <c r="X42" t="s">
        <v>29</v>
      </c>
    </row>
    <row r="43" spans="1:24" x14ac:dyDescent="0.25">
      <c r="A43">
        <v>42</v>
      </c>
      <c r="B43" t="s">
        <v>19</v>
      </c>
      <c r="C43" t="s">
        <v>138</v>
      </c>
      <c r="D43" t="s">
        <v>139</v>
      </c>
      <c r="E43" t="s">
        <v>297</v>
      </c>
      <c r="F43" t="s">
        <v>22</v>
      </c>
      <c r="G43" t="s">
        <v>23</v>
      </c>
      <c r="H43" t="s">
        <v>36</v>
      </c>
      <c r="I43" t="s">
        <v>37</v>
      </c>
      <c r="J43">
        <v>100</v>
      </c>
      <c r="K43" t="s">
        <v>32</v>
      </c>
      <c r="M43" t="s">
        <v>140</v>
      </c>
      <c r="N43" s="3">
        <v>11949</v>
      </c>
      <c r="O43">
        <v>10749</v>
      </c>
      <c r="P43">
        <f>IF(OR(ISBLANK(Table1[[#This Row],[ميعاد التسليم]]),ISBLANK(Table1[[#This Row],[ميعاد الطلب]])),0,Table1[[#This Row],[ميعاد التسليم]]-Table1[[#This Row],[ميعاد الطلب]])</f>
        <v>17</v>
      </c>
      <c r="Q43">
        <f>IF(OR(ISBLANK(Table1[[#This Row],[تاريخ التسليم]]),ISBLANK(Table1[[#This Row],[ميعاد الطلب]])),0,Table1[[#This Row],[تاريخ التسليم]]-Table1[[#This Row],[ميعاد الطلب]])</f>
        <v>20</v>
      </c>
      <c r="R43">
        <f>Table1[[#This Row],[مدة التسليم (الهدف)]]-Table1[[#This Row],[مدة التسليم الفعلية]]</f>
        <v>-3</v>
      </c>
      <c r="S43" t="str">
        <f>IF(Table1[[#This Row],[Column1]]&lt;=0,"متأخرة","مسلمة في الموعد")</f>
        <v>متأخرة</v>
      </c>
      <c r="T43" s="1">
        <v>45547</v>
      </c>
      <c r="U43" s="1">
        <v>45564</v>
      </c>
      <c r="V43" s="1">
        <v>45567</v>
      </c>
      <c r="W43" t="s">
        <v>72</v>
      </c>
      <c r="X43" t="s">
        <v>29</v>
      </c>
    </row>
    <row r="44" spans="1:24" x14ac:dyDescent="0.25">
      <c r="A44">
        <v>43</v>
      </c>
      <c r="B44" t="s">
        <v>19</v>
      </c>
      <c r="C44" t="s">
        <v>53</v>
      </c>
      <c r="D44" t="s">
        <v>141</v>
      </c>
      <c r="E44" t="s">
        <v>299</v>
      </c>
      <c r="F44" t="s">
        <v>22</v>
      </c>
      <c r="G44" t="s">
        <v>23</v>
      </c>
      <c r="H44" t="s">
        <v>125</v>
      </c>
      <c r="I44" t="s">
        <v>37</v>
      </c>
      <c r="J44">
        <v>80</v>
      </c>
      <c r="K44" t="s">
        <v>25</v>
      </c>
      <c r="M44" t="s">
        <v>142</v>
      </c>
      <c r="N44" s="3">
        <v>16599</v>
      </c>
      <c r="O44" t="s">
        <v>27</v>
      </c>
      <c r="P44">
        <f>IF(OR(ISBLANK(Table1[[#This Row],[ميعاد التسليم]]),ISBLANK(Table1[[#This Row],[ميعاد الطلب]])),0,Table1[[#This Row],[ميعاد التسليم]]-Table1[[#This Row],[ميعاد الطلب]])</f>
        <v>17</v>
      </c>
      <c r="Q44">
        <f>IF(OR(ISBLANK(Table1[[#This Row],[تاريخ التسليم]]),ISBLANK(Table1[[#This Row],[ميعاد الطلب]])),0,Table1[[#This Row],[تاريخ التسليم]]-Table1[[#This Row],[ميعاد الطلب]])</f>
        <v>20</v>
      </c>
      <c r="R44">
        <f>Table1[[#This Row],[مدة التسليم (الهدف)]]-Table1[[#This Row],[مدة التسليم الفعلية]]</f>
        <v>-3</v>
      </c>
      <c r="S44" t="str">
        <f>IF(Table1[[#This Row],[Column1]]&lt;=0,"متأخرة","مسلمة في الموعد")</f>
        <v>متأخرة</v>
      </c>
      <c r="T44" s="1">
        <v>45548</v>
      </c>
      <c r="U44" s="1">
        <v>45565</v>
      </c>
      <c r="V44" s="1">
        <v>45568</v>
      </c>
      <c r="W44" t="s">
        <v>72</v>
      </c>
      <c r="X44" t="s">
        <v>29</v>
      </c>
    </row>
    <row r="45" spans="1:24" x14ac:dyDescent="0.25">
      <c r="A45">
        <v>44</v>
      </c>
      <c r="B45" t="s">
        <v>19</v>
      </c>
      <c r="C45" t="s">
        <v>143</v>
      </c>
      <c r="D45" t="s">
        <v>41</v>
      </c>
      <c r="E45" t="s">
        <v>41</v>
      </c>
      <c r="F45" t="s">
        <v>22</v>
      </c>
      <c r="G45" t="s">
        <v>23</v>
      </c>
      <c r="H45" t="s">
        <v>36</v>
      </c>
      <c r="I45" t="s">
        <v>37</v>
      </c>
      <c r="J45">
        <v>80</v>
      </c>
      <c r="K45" t="s">
        <v>25</v>
      </c>
      <c r="M45" t="s">
        <v>144</v>
      </c>
      <c r="N45" s="3">
        <v>10999</v>
      </c>
      <c r="O45" t="s">
        <v>27</v>
      </c>
      <c r="P45">
        <f>IF(OR(ISBLANK(Table1[[#This Row],[ميعاد التسليم]]),ISBLANK(Table1[[#This Row],[ميعاد الطلب]])),0,Table1[[#This Row],[ميعاد التسليم]]-Table1[[#This Row],[ميعاد الطلب]])</f>
        <v>17</v>
      </c>
      <c r="Q45">
        <f>IF(OR(ISBLANK(Table1[[#This Row],[تاريخ التسليم]]),ISBLANK(Table1[[#This Row],[ميعاد الطلب]])),0,Table1[[#This Row],[تاريخ التسليم]]-Table1[[#This Row],[ميعاد الطلب]])</f>
        <v>33</v>
      </c>
      <c r="R45">
        <f>Table1[[#This Row],[مدة التسليم (الهدف)]]-Table1[[#This Row],[مدة التسليم الفعلية]]</f>
        <v>-16</v>
      </c>
      <c r="S45" t="str">
        <f>IF(Table1[[#This Row],[Column1]]&lt;=0,"متأخرة","مسلمة في الموعد")</f>
        <v>متأخرة</v>
      </c>
      <c r="T45" s="1">
        <v>45548</v>
      </c>
      <c r="U45" s="1">
        <v>45565</v>
      </c>
      <c r="V45" s="1">
        <v>45581</v>
      </c>
      <c r="W45" t="s">
        <v>28</v>
      </c>
      <c r="X45" t="s">
        <v>29</v>
      </c>
    </row>
    <row r="46" spans="1:24" x14ac:dyDescent="0.25">
      <c r="A46">
        <v>45</v>
      </c>
      <c r="B46" t="s">
        <v>19</v>
      </c>
      <c r="C46" t="s">
        <v>145</v>
      </c>
      <c r="D46" t="s">
        <v>146</v>
      </c>
      <c r="E46" t="s">
        <v>201</v>
      </c>
      <c r="F46" t="s">
        <v>22</v>
      </c>
      <c r="G46" t="s">
        <v>23</v>
      </c>
      <c r="H46" t="s">
        <v>36</v>
      </c>
      <c r="I46" t="s">
        <v>37</v>
      </c>
      <c r="J46">
        <v>140</v>
      </c>
      <c r="K46" t="s">
        <v>38</v>
      </c>
      <c r="M46" t="s">
        <v>147</v>
      </c>
      <c r="N46" s="3">
        <v>13099</v>
      </c>
      <c r="O46" t="s">
        <v>27</v>
      </c>
      <c r="P46">
        <f>IF(OR(ISBLANK(Table1[[#This Row],[ميعاد التسليم]]),ISBLANK(Table1[[#This Row],[ميعاد الطلب]])),0,Table1[[#This Row],[ميعاد التسليم]]-Table1[[#This Row],[ميعاد الطلب]])</f>
        <v>17</v>
      </c>
      <c r="Q46">
        <f>IF(OR(ISBLANK(Table1[[#This Row],[تاريخ التسليم]]),ISBLANK(Table1[[#This Row],[ميعاد الطلب]])),0,Table1[[#This Row],[تاريخ التسليم]]-Table1[[#This Row],[ميعاد الطلب]])</f>
        <v>20</v>
      </c>
      <c r="R46">
        <f>Table1[[#This Row],[مدة التسليم (الهدف)]]-Table1[[#This Row],[مدة التسليم الفعلية]]</f>
        <v>-3</v>
      </c>
      <c r="S46" t="str">
        <f>IF(Table1[[#This Row],[Column1]]&lt;=0,"متأخرة","مسلمة في الموعد")</f>
        <v>متأخرة</v>
      </c>
      <c r="T46" s="1">
        <v>45548</v>
      </c>
      <c r="U46" s="1">
        <v>45565</v>
      </c>
      <c r="V46" s="1">
        <v>45568</v>
      </c>
      <c r="W46" t="s">
        <v>28</v>
      </c>
      <c r="X46" t="s">
        <v>29</v>
      </c>
    </row>
    <row r="47" spans="1:24" x14ac:dyDescent="0.25">
      <c r="A47">
        <v>46</v>
      </c>
      <c r="B47" t="s">
        <v>19</v>
      </c>
      <c r="C47" t="s">
        <v>148</v>
      </c>
      <c r="D47" t="s">
        <v>57</v>
      </c>
      <c r="E47" t="s">
        <v>297</v>
      </c>
      <c r="F47" t="s">
        <v>22</v>
      </c>
      <c r="G47" t="s">
        <v>23</v>
      </c>
      <c r="H47" t="s">
        <v>36</v>
      </c>
      <c r="I47" t="s">
        <v>89</v>
      </c>
      <c r="J47">
        <v>120</v>
      </c>
      <c r="K47" t="s">
        <v>149</v>
      </c>
      <c r="M47" t="s">
        <v>150</v>
      </c>
      <c r="N47" s="3">
        <v>13849</v>
      </c>
      <c r="O47" t="s">
        <v>27</v>
      </c>
      <c r="P47">
        <f>IF(OR(ISBLANK(Table1[[#This Row],[ميعاد التسليم]]),ISBLANK(Table1[[#This Row],[ميعاد الطلب]])),0,Table1[[#This Row],[ميعاد التسليم]]-Table1[[#This Row],[ميعاد الطلب]])</f>
        <v>17</v>
      </c>
      <c r="Q47">
        <f>IF(OR(ISBLANK(Table1[[#This Row],[تاريخ التسليم]]),ISBLANK(Table1[[#This Row],[ميعاد الطلب]])),0,Table1[[#This Row],[تاريخ التسليم]]-Table1[[#This Row],[ميعاد الطلب]])</f>
        <v>37</v>
      </c>
      <c r="R47">
        <f>Table1[[#This Row],[مدة التسليم (الهدف)]]-Table1[[#This Row],[مدة التسليم الفعلية]]</f>
        <v>-20</v>
      </c>
      <c r="S47" t="str">
        <f>IF(Table1[[#This Row],[Column1]]&lt;=0,"متأخرة","مسلمة في الموعد")</f>
        <v>متأخرة</v>
      </c>
      <c r="T47" s="1">
        <v>45548</v>
      </c>
      <c r="U47" s="1">
        <v>45565</v>
      </c>
      <c r="V47" s="1">
        <v>45585</v>
      </c>
      <c r="W47" t="s">
        <v>72</v>
      </c>
      <c r="X47" t="s">
        <v>29</v>
      </c>
    </row>
    <row r="48" spans="1:24" x14ac:dyDescent="0.25">
      <c r="A48">
        <v>47</v>
      </c>
      <c r="B48" t="s">
        <v>19</v>
      </c>
      <c r="C48" t="s">
        <v>151</v>
      </c>
      <c r="D48" t="s">
        <v>152</v>
      </c>
      <c r="E48" t="s">
        <v>299</v>
      </c>
      <c r="F48" t="s">
        <v>22</v>
      </c>
      <c r="G48" t="s">
        <v>50</v>
      </c>
      <c r="H48" t="s">
        <v>51</v>
      </c>
      <c r="K48" t="s">
        <v>32</v>
      </c>
      <c r="L48" t="s">
        <v>46</v>
      </c>
      <c r="M48" t="s">
        <v>153</v>
      </c>
      <c r="N48" s="3">
        <v>21999</v>
      </c>
      <c r="O48" t="s">
        <v>27</v>
      </c>
      <c r="P48">
        <f>IF(OR(ISBLANK(Table1[[#This Row],[ميعاد التسليم]]),ISBLANK(Table1[[#This Row],[ميعاد الطلب]])),0,Table1[[#This Row],[ميعاد التسليم]]-Table1[[#This Row],[ميعاد الطلب]])</f>
        <v>17</v>
      </c>
      <c r="Q48">
        <f>IF(OR(ISBLANK(Table1[[#This Row],[تاريخ التسليم]]),ISBLANK(Table1[[#This Row],[ميعاد الطلب]])),0,Table1[[#This Row],[تاريخ التسليم]]-Table1[[#This Row],[ميعاد الطلب]])</f>
        <v>0</v>
      </c>
      <c r="R48">
        <f>Table1[[#This Row],[مدة التسليم (الهدف)]]-Table1[[#This Row],[مدة التسليم الفعلية]]</f>
        <v>17</v>
      </c>
      <c r="S48" t="str">
        <f>IF(Table1[[#This Row],[Column1]]&lt;=0,"متأخرة","مسلمة في الموعد")</f>
        <v>مسلمة في الموعد</v>
      </c>
      <c r="T48" s="1">
        <v>45548</v>
      </c>
      <c r="U48" s="1">
        <v>45565</v>
      </c>
      <c r="W48" t="s">
        <v>72</v>
      </c>
      <c r="X48" t="s">
        <v>29</v>
      </c>
    </row>
    <row r="49" spans="1:24" x14ac:dyDescent="0.25">
      <c r="A49">
        <v>48</v>
      </c>
      <c r="B49" t="s">
        <v>19</v>
      </c>
      <c r="C49" t="s">
        <v>154</v>
      </c>
      <c r="D49" t="s">
        <v>57</v>
      </c>
      <c r="E49" t="s">
        <v>297</v>
      </c>
      <c r="F49" t="s">
        <v>22</v>
      </c>
      <c r="G49" t="s">
        <v>23</v>
      </c>
      <c r="H49" t="s">
        <v>36</v>
      </c>
      <c r="I49" t="s">
        <v>37</v>
      </c>
      <c r="J49">
        <v>80</v>
      </c>
      <c r="K49" t="s">
        <v>25</v>
      </c>
      <c r="M49" t="s">
        <v>144</v>
      </c>
      <c r="N49" s="3">
        <v>10999</v>
      </c>
      <c r="O49" t="s">
        <v>27</v>
      </c>
      <c r="P49">
        <f>IF(OR(ISBLANK(Table1[[#This Row],[ميعاد التسليم]]),ISBLANK(Table1[[#This Row],[ميعاد الطلب]])),0,Table1[[#This Row],[ميعاد التسليم]]-Table1[[#This Row],[ميعاد الطلب]])</f>
        <v>17</v>
      </c>
      <c r="Q49">
        <f>IF(OR(ISBLANK(Table1[[#This Row],[تاريخ التسليم]]),ISBLANK(Table1[[#This Row],[ميعاد الطلب]])),0,Table1[[#This Row],[تاريخ التسليم]]-Table1[[#This Row],[ميعاد الطلب]])</f>
        <v>32</v>
      </c>
      <c r="R49">
        <f>Table1[[#This Row],[مدة التسليم (الهدف)]]-Table1[[#This Row],[مدة التسليم الفعلية]]</f>
        <v>-15</v>
      </c>
      <c r="S49" t="str">
        <f>IF(Table1[[#This Row],[Column1]]&lt;=0,"متأخرة","مسلمة في الموعد")</f>
        <v>متأخرة</v>
      </c>
      <c r="T49" s="1">
        <v>45548</v>
      </c>
      <c r="U49" s="1">
        <v>45565</v>
      </c>
      <c r="V49" s="1">
        <v>45580</v>
      </c>
      <c r="W49" t="s">
        <v>72</v>
      </c>
      <c r="X49" t="s">
        <v>29</v>
      </c>
    </row>
    <row r="50" spans="1:24" x14ac:dyDescent="0.25">
      <c r="A50">
        <v>49</v>
      </c>
      <c r="B50" t="s">
        <v>19</v>
      </c>
      <c r="C50" t="s">
        <v>155</v>
      </c>
      <c r="D50" t="s">
        <v>98</v>
      </c>
      <c r="E50" t="s">
        <v>299</v>
      </c>
      <c r="F50" t="s">
        <v>22</v>
      </c>
      <c r="G50" t="s">
        <v>23</v>
      </c>
      <c r="H50" t="s">
        <v>125</v>
      </c>
      <c r="I50" t="s">
        <v>37</v>
      </c>
      <c r="J50">
        <v>90</v>
      </c>
      <c r="K50" t="s">
        <v>32</v>
      </c>
      <c r="M50" t="s">
        <v>156</v>
      </c>
      <c r="N50" s="3">
        <v>17249</v>
      </c>
      <c r="O50" t="s">
        <v>27</v>
      </c>
      <c r="P50">
        <f>IF(OR(ISBLANK(Table1[[#This Row],[ميعاد التسليم]]),ISBLANK(Table1[[#This Row],[ميعاد الطلب]])),0,Table1[[#This Row],[ميعاد التسليم]]-Table1[[#This Row],[ميعاد الطلب]])</f>
        <v>17</v>
      </c>
      <c r="Q50">
        <f>IF(OR(ISBLANK(Table1[[#This Row],[تاريخ التسليم]]),ISBLANK(Table1[[#This Row],[ميعاد الطلب]])),0,Table1[[#This Row],[تاريخ التسليم]]-Table1[[#This Row],[ميعاد الطلب]])</f>
        <v>21</v>
      </c>
      <c r="R50">
        <f>Table1[[#This Row],[مدة التسليم (الهدف)]]-Table1[[#This Row],[مدة التسليم الفعلية]]</f>
        <v>-4</v>
      </c>
      <c r="S50" t="str">
        <f>IF(Table1[[#This Row],[Column1]]&lt;=0,"متأخرة","مسلمة في الموعد")</f>
        <v>متأخرة</v>
      </c>
      <c r="T50" s="1">
        <v>45548</v>
      </c>
      <c r="U50" s="1">
        <v>45565</v>
      </c>
      <c r="V50" s="1">
        <v>45569</v>
      </c>
      <c r="W50" t="s">
        <v>72</v>
      </c>
      <c r="X50" t="s">
        <v>29</v>
      </c>
    </row>
    <row r="51" spans="1:24" x14ac:dyDescent="0.25">
      <c r="A51">
        <v>50</v>
      </c>
      <c r="B51" t="s">
        <v>19</v>
      </c>
      <c r="C51" t="s">
        <v>157</v>
      </c>
      <c r="D51" t="s">
        <v>158</v>
      </c>
      <c r="E51" t="s">
        <v>297</v>
      </c>
      <c r="F51" t="s">
        <v>22</v>
      </c>
      <c r="G51" t="s">
        <v>42</v>
      </c>
      <c r="H51" t="s">
        <v>80</v>
      </c>
      <c r="K51" t="s">
        <v>288</v>
      </c>
      <c r="M51" t="s">
        <v>159</v>
      </c>
      <c r="N51" s="3">
        <v>8349</v>
      </c>
      <c r="O51" t="s">
        <v>27</v>
      </c>
      <c r="P51">
        <f>IF(OR(ISBLANK(Table1[[#This Row],[ميعاد التسليم]]),ISBLANK(Table1[[#This Row],[ميعاد الطلب]])),0,Table1[[#This Row],[ميعاد التسليم]]-Table1[[#This Row],[ميعاد الطلب]])</f>
        <v>32</v>
      </c>
      <c r="Q51">
        <f>IF(OR(ISBLANK(Table1[[#This Row],[تاريخ التسليم]]),ISBLANK(Table1[[#This Row],[ميعاد الطلب]])),0,Table1[[#This Row],[تاريخ التسليم]]-Table1[[#This Row],[ميعاد الطلب]])</f>
        <v>37</v>
      </c>
      <c r="R51">
        <f>Table1[[#This Row],[مدة التسليم (الهدف)]]-Table1[[#This Row],[مدة التسليم الفعلية]]</f>
        <v>-5</v>
      </c>
      <c r="S51" t="str">
        <f>IF(Table1[[#This Row],[Column1]]&lt;=0,"متأخرة","مسلمة في الموعد")</f>
        <v>متأخرة</v>
      </c>
      <c r="T51" s="1">
        <v>45549</v>
      </c>
      <c r="U51" s="1">
        <v>45581</v>
      </c>
      <c r="V51" s="1">
        <v>45586</v>
      </c>
      <c r="W51" t="s">
        <v>72</v>
      </c>
      <c r="X51" t="s">
        <v>29</v>
      </c>
    </row>
    <row r="52" spans="1:24" x14ac:dyDescent="0.25">
      <c r="A52">
        <v>51</v>
      </c>
      <c r="B52" t="s">
        <v>19</v>
      </c>
      <c r="C52" t="s">
        <v>160</v>
      </c>
      <c r="D52" t="s">
        <v>79</v>
      </c>
      <c r="E52" t="s">
        <v>299</v>
      </c>
      <c r="F52" t="s">
        <v>22</v>
      </c>
      <c r="G52" t="s">
        <v>42</v>
      </c>
      <c r="H52" t="s">
        <v>161</v>
      </c>
      <c r="K52" t="s">
        <v>288</v>
      </c>
      <c r="M52" t="s">
        <v>43</v>
      </c>
      <c r="N52" s="3">
        <v>7849</v>
      </c>
      <c r="O52" t="s">
        <v>27</v>
      </c>
      <c r="P52">
        <f>IF(OR(ISBLANK(Table1[[#This Row],[ميعاد التسليم]]),ISBLANK(Table1[[#This Row],[ميعاد الطلب]])),0,Table1[[#This Row],[ميعاد التسليم]]-Table1[[#This Row],[ميعاد الطلب]])</f>
        <v>45</v>
      </c>
      <c r="Q52">
        <f>IF(OR(ISBLANK(Table1[[#This Row],[تاريخ التسليم]]),ISBLANK(Table1[[#This Row],[ميعاد الطلب]])),0,Table1[[#This Row],[تاريخ التسليم]]-Table1[[#This Row],[ميعاد الطلب]])</f>
        <v>46</v>
      </c>
      <c r="R52">
        <f>Table1[[#This Row],[مدة التسليم (الهدف)]]-Table1[[#This Row],[مدة التسليم الفعلية]]</f>
        <v>-1</v>
      </c>
      <c r="S52" t="str">
        <f>IF(Table1[[#This Row],[Column1]]&lt;=0,"متأخرة","مسلمة في الموعد")</f>
        <v>متأخرة</v>
      </c>
      <c r="T52" s="1">
        <v>45549</v>
      </c>
      <c r="U52" s="1">
        <v>45594</v>
      </c>
      <c r="V52" s="1">
        <v>45595</v>
      </c>
      <c r="W52" t="s">
        <v>72</v>
      </c>
      <c r="X52" t="s">
        <v>29</v>
      </c>
    </row>
    <row r="53" spans="1:24" x14ac:dyDescent="0.25">
      <c r="A53">
        <v>52</v>
      </c>
      <c r="B53" t="s">
        <v>19</v>
      </c>
      <c r="C53" t="s">
        <v>162</v>
      </c>
      <c r="D53" t="s">
        <v>57</v>
      </c>
      <c r="E53" t="s">
        <v>297</v>
      </c>
      <c r="F53" t="s">
        <v>22</v>
      </c>
      <c r="G53" t="s">
        <v>23</v>
      </c>
      <c r="H53" t="s">
        <v>24</v>
      </c>
      <c r="K53" t="s">
        <v>32</v>
      </c>
      <c r="L53" t="s">
        <v>32</v>
      </c>
      <c r="M53" t="s">
        <v>163</v>
      </c>
      <c r="N53" s="3">
        <v>9399</v>
      </c>
      <c r="O53" t="s">
        <v>111</v>
      </c>
      <c r="P53">
        <f>IF(OR(ISBLANK(Table1[[#This Row],[ميعاد التسليم]]),ISBLANK(Table1[[#This Row],[ميعاد الطلب]])),0,Table1[[#This Row],[ميعاد التسليم]]-Table1[[#This Row],[ميعاد الطلب]])</f>
        <v>45</v>
      </c>
      <c r="Q53">
        <f>IF(OR(ISBLANK(Table1[[#This Row],[تاريخ التسليم]]),ISBLANK(Table1[[#This Row],[ميعاد الطلب]])),0,Table1[[#This Row],[تاريخ التسليم]]-Table1[[#This Row],[ميعاد الطلب]])</f>
        <v>31</v>
      </c>
      <c r="R53">
        <f>Table1[[#This Row],[مدة التسليم (الهدف)]]-Table1[[#This Row],[مدة التسليم الفعلية]]</f>
        <v>14</v>
      </c>
      <c r="S53" t="str">
        <f>IF(Table1[[#This Row],[Column1]]&lt;=0,"متأخرة","مسلمة في الموعد")</f>
        <v>مسلمة في الموعد</v>
      </c>
      <c r="T53" s="1">
        <v>45549</v>
      </c>
      <c r="U53" s="1">
        <v>45594</v>
      </c>
      <c r="V53" s="1">
        <v>45580</v>
      </c>
      <c r="W53" t="s">
        <v>72</v>
      </c>
      <c r="X53" t="s">
        <v>29</v>
      </c>
    </row>
    <row r="54" spans="1:24" x14ac:dyDescent="0.25">
      <c r="A54">
        <v>53</v>
      </c>
      <c r="B54" t="s">
        <v>19</v>
      </c>
      <c r="C54" t="s">
        <v>164</v>
      </c>
      <c r="D54" t="s">
        <v>165</v>
      </c>
      <c r="E54" t="s">
        <v>297</v>
      </c>
      <c r="F54" t="s">
        <v>22</v>
      </c>
      <c r="G54" t="s">
        <v>23</v>
      </c>
      <c r="H54" t="s">
        <v>58</v>
      </c>
      <c r="I54" t="s">
        <v>100</v>
      </c>
      <c r="J54">
        <v>140</v>
      </c>
      <c r="K54" t="s">
        <v>32</v>
      </c>
      <c r="M54" t="s">
        <v>166</v>
      </c>
      <c r="N54" s="3">
        <v>11817</v>
      </c>
      <c r="O54" t="s">
        <v>111</v>
      </c>
      <c r="P54">
        <f>IF(OR(ISBLANK(Table1[[#This Row],[ميعاد التسليم]]),ISBLANK(Table1[[#This Row],[ميعاد الطلب]])),0,Table1[[#This Row],[ميعاد التسليم]]-Table1[[#This Row],[ميعاد الطلب]])</f>
        <v>45</v>
      </c>
      <c r="Q54">
        <f>IF(OR(ISBLANK(Table1[[#This Row],[تاريخ التسليم]]),ISBLANK(Table1[[#This Row],[ميعاد الطلب]])),0,Table1[[#This Row],[تاريخ التسليم]]-Table1[[#This Row],[ميعاد الطلب]])</f>
        <v>31</v>
      </c>
      <c r="R54">
        <f>Table1[[#This Row],[مدة التسليم (الهدف)]]-Table1[[#This Row],[مدة التسليم الفعلية]]</f>
        <v>14</v>
      </c>
      <c r="S54" t="str">
        <f>IF(Table1[[#This Row],[Column1]]&lt;=0,"متأخرة","مسلمة في الموعد")</f>
        <v>مسلمة في الموعد</v>
      </c>
      <c r="T54" s="1">
        <v>45549</v>
      </c>
      <c r="U54" s="1">
        <v>45594</v>
      </c>
      <c r="V54" s="1">
        <v>45580</v>
      </c>
      <c r="W54" t="s">
        <v>72</v>
      </c>
      <c r="X54" t="s">
        <v>29</v>
      </c>
    </row>
    <row r="55" spans="1:24" x14ac:dyDescent="0.25">
      <c r="A55">
        <v>54</v>
      </c>
      <c r="B55" t="s">
        <v>19</v>
      </c>
      <c r="C55" t="s">
        <v>167</v>
      </c>
      <c r="D55" t="s">
        <v>141</v>
      </c>
      <c r="E55" t="s">
        <v>299</v>
      </c>
      <c r="F55" t="s">
        <v>22</v>
      </c>
      <c r="G55" t="s">
        <v>42</v>
      </c>
      <c r="H55" t="s">
        <v>117</v>
      </c>
      <c r="K55" t="s">
        <v>288</v>
      </c>
      <c r="M55" t="s">
        <v>168</v>
      </c>
      <c r="N55" s="3">
        <v>8349</v>
      </c>
      <c r="O55" t="s">
        <v>111</v>
      </c>
      <c r="P55">
        <f>IF(OR(ISBLANK(Table1[[#This Row],[ميعاد التسليم]]),ISBLANK(Table1[[#This Row],[ميعاد الطلب]])),0,Table1[[#This Row],[ميعاد التسليم]]-Table1[[#This Row],[ميعاد الطلب]])</f>
        <v>45</v>
      </c>
      <c r="Q55">
        <f>IF(OR(ISBLANK(Table1[[#This Row],[تاريخ التسليم]]),ISBLANK(Table1[[#This Row],[ميعاد الطلب]])),0,Table1[[#This Row],[تاريخ التسليم]]-Table1[[#This Row],[ميعاد الطلب]])</f>
        <v>35</v>
      </c>
      <c r="R55">
        <f>Table1[[#This Row],[مدة التسليم (الهدف)]]-Table1[[#This Row],[مدة التسليم الفعلية]]</f>
        <v>10</v>
      </c>
      <c r="S55" t="str">
        <f>IF(Table1[[#This Row],[Column1]]&lt;=0,"متأخرة","مسلمة في الموعد")</f>
        <v>مسلمة في الموعد</v>
      </c>
      <c r="T55" s="1">
        <v>45549</v>
      </c>
      <c r="U55" s="1">
        <v>45594</v>
      </c>
      <c r="V55" s="1">
        <v>45584</v>
      </c>
      <c r="W55" t="s">
        <v>72</v>
      </c>
      <c r="X55" t="s">
        <v>29</v>
      </c>
    </row>
    <row r="56" spans="1:24" x14ac:dyDescent="0.25">
      <c r="A56">
        <v>55</v>
      </c>
      <c r="B56" t="s">
        <v>19</v>
      </c>
      <c r="C56" t="s">
        <v>169</v>
      </c>
      <c r="D56" t="s">
        <v>170</v>
      </c>
      <c r="F56" t="s">
        <v>22</v>
      </c>
      <c r="G56" t="s">
        <v>23</v>
      </c>
      <c r="H56" t="s">
        <v>58</v>
      </c>
      <c r="I56" t="s">
        <v>92</v>
      </c>
      <c r="J56">
        <v>120</v>
      </c>
      <c r="K56" t="s">
        <v>25</v>
      </c>
      <c r="M56" t="s">
        <v>171</v>
      </c>
      <c r="N56" s="3">
        <v>17886</v>
      </c>
      <c r="O56" t="s">
        <v>111</v>
      </c>
      <c r="P56">
        <f>IF(OR(ISBLANK(Table1[[#This Row],[ميعاد التسليم]]),ISBLANK(Table1[[#This Row],[ميعاد الطلب]])),0,Table1[[#This Row],[ميعاد التسليم]]-Table1[[#This Row],[ميعاد الطلب]])</f>
        <v>45</v>
      </c>
      <c r="Q56">
        <f>IF(OR(ISBLANK(Table1[[#This Row],[تاريخ التسليم]]),ISBLANK(Table1[[#This Row],[ميعاد الطلب]])),0,Table1[[#This Row],[تاريخ التسليم]]-Table1[[#This Row],[ميعاد الطلب]])</f>
        <v>0</v>
      </c>
      <c r="R56">
        <f>Table1[[#This Row],[مدة التسليم (الهدف)]]-Table1[[#This Row],[مدة التسليم الفعلية]]</f>
        <v>45</v>
      </c>
      <c r="S56" t="str">
        <f>IF(Table1[[#This Row],[Column1]]&lt;=0,"متأخرة","مسلمة في الموعد")</f>
        <v>مسلمة في الموعد</v>
      </c>
      <c r="T56" s="1">
        <v>45549</v>
      </c>
      <c r="U56" s="1">
        <v>45594</v>
      </c>
      <c r="X56" t="s">
        <v>69</v>
      </c>
    </row>
    <row r="57" spans="1:24" x14ac:dyDescent="0.25">
      <c r="A57">
        <v>56</v>
      </c>
      <c r="B57" t="s">
        <v>19</v>
      </c>
      <c r="C57" t="s">
        <v>169</v>
      </c>
      <c r="D57" t="s">
        <v>170</v>
      </c>
      <c r="F57" t="s">
        <v>22</v>
      </c>
      <c r="G57" t="s">
        <v>23</v>
      </c>
      <c r="H57" t="s">
        <v>58</v>
      </c>
      <c r="I57" t="s">
        <v>92</v>
      </c>
      <c r="J57">
        <v>120</v>
      </c>
      <c r="K57" t="s">
        <v>25</v>
      </c>
      <c r="M57" t="s">
        <v>171</v>
      </c>
      <c r="N57" s="3">
        <v>17886</v>
      </c>
      <c r="O57" t="s">
        <v>111</v>
      </c>
      <c r="P57">
        <f>IF(OR(ISBLANK(Table1[[#This Row],[ميعاد التسليم]]),ISBLANK(Table1[[#This Row],[ميعاد الطلب]])),0,Table1[[#This Row],[ميعاد التسليم]]-Table1[[#This Row],[ميعاد الطلب]])</f>
        <v>45</v>
      </c>
      <c r="Q57">
        <f>IF(OR(ISBLANK(Table1[[#This Row],[تاريخ التسليم]]),ISBLANK(Table1[[#This Row],[ميعاد الطلب]])),0,Table1[[#This Row],[تاريخ التسليم]]-Table1[[#This Row],[ميعاد الطلب]])</f>
        <v>0</v>
      </c>
      <c r="R57">
        <f>Table1[[#This Row],[مدة التسليم (الهدف)]]-Table1[[#This Row],[مدة التسليم الفعلية]]</f>
        <v>45</v>
      </c>
      <c r="S57" t="str">
        <f>IF(Table1[[#This Row],[Column1]]&lt;=0,"متأخرة","مسلمة في الموعد")</f>
        <v>مسلمة في الموعد</v>
      </c>
      <c r="T57" s="1">
        <v>45549</v>
      </c>
      <c r="U57" s="1">
        <v>45594</v>
      </c>
      <c r="X57" t="s">
        <v>69</v>
      </c>
    </row>
    <row r="58" spans="1:24" x14ac:dyDescent="0.25">
      <c r="A58">
        <v>57</v>
      </c>
      <c r="B58" t="s">
        <v>19</v>
      </c>
      <c r="C58" t="s">
        <v>172</v>
      </c>
      <c r="D58" t="s">
        <v>91</v>
      </c>
      <c r="E58" t="s">
        <v>299</v>
      </c>
      <c r="F58" t="s">
        <v>22</v>
      </c>
      <c r="G58" t="s">
        <v>23</v>
      </c>
      <c r="H58" t="s">
        <v>58</v>
      </c>
      <c r="I58" t="s">
        <v>100</v>
      </c>
      <c r="J58">
        <v>120</v>
      </c>
      <c r="K58" t="s">
        <v>25</v>
      </c>
      <c r="M58" t="s">
        <v>173</v>
      </c>
      <c r="N58" s="3">
        <v>10987</v>
      </c>
      <c r="O58" t="s">
        <v>27</v>
      </c>
      <c r="P58">
        <f>IF(OR(ISBLANK(Table1[[#This Row],[ميعاد التسليم]]),ISBLANK(Table1[[#This Row],[ميعاد الطلب]])),0,Table1[[#This Row],[ميعاد التسليم]]-Table1[[#This Row],[ميعاد الطلب]])</f>
        <v>45</v>
      </c>
      <c r="Q58">
        <f>IF(OR(ISBLANK(Table1[[#This Row],[تاريخ التسليم]]),ISBLANK(Table1[[#This Row],[ميعاد الطلب]])),0,Table1[[#This Row],[تاريخ التسليم]]-Table1[[#This Row],[ميعاد الطلب]])</f>
        <v>29</v>
      </c>
      <c r="R58">
        <f>Table1[[#This Row],[مدة التسليم (الهدف)]]-Table1[[#This Row],[مدة التسليم الفعلية]]</f>
        <v>16</v>
      </c>
      <c r="S58" t="str">
        <f>IF(Table1[[#This Row],[Column1]]&lt;=0,"متأخرة","مسلمة في الموعد")</f>
        <v>مسلمة في الموعد</v>
      </c>
      <c r="T58" s="1">
        <v>45549</v>
      </c>
      <c r="U58" s="1">
        <v>45594</v>
      </c>
      <c r="V58" s="1">
        <v>45578</v>
      </c>
      <c r="W58" t="s">
        <v>72</v>
      </c>
      <c r="X58" t="s">
        <v>29</v>
      </c>
    </row>
    <row r="59" spans="1:24" x14ac:dyDescent="0.25">
      <c r="A59">
        <v>58</v>
      </c>
      <c r="B59" t="s">
        <v>19</v>
      </c>
      <c r="C59" t="s">
        <v>172</v>
      </c>
      <c r="D59" t="s">
        <v>91</v>
      </c>
      <c r="E59" t="s">
        <v>299</v>
      </c>
      <c r="F59" t="s">
        <v>22</v>
      </c>
      <c r="G59" t="s">
        <v>23</v>
      </c>
      <c r="H59" t="s">
        <v>58</v>
      </c>
      <c r="I59" t="s">
        <v>100</v>
      </c>
      <c r="J59">
        <v>120</v>
      </c>
      <c r="K59" t="s">
        <v>25</v>
      </c>
      <c r="M59" t="s">
        <v>173</v>
      </c>
      <c r="N59" s="3">
        <v>10987</v>
      </c>
      <c r="O59" t="s">
        <v>27</v>
      </c>
      <c r="P59">
        <f>IF(OR(ISBLANK(Table1[[#This Row],[ميعاد التسليم]]),ISBLANK(Table1[[#This Row],[ميعاد الطلب]])),0,Table1[[#This Row],[ميعاد التسليم]]-Table1[[#This Row],[ميعاد الطلب]])</f>
        <v>45</v>
      </c>
      <c r="Q59">
        <f>IF(OR(ISBLANK(Table1[[#This Row],[تاريخ التسليم]]),ISBLANK(Table1[[#This Row],[ميعاد الطلب]])),0,Table1[[#This Row],[تاريخ التسليم]]-Table1[[#This Row],[ميعاد الطلب]])</f>
        <v>29</v>
      </c>
      <c r="R59">
        <f>Table1[[#This Row],[مدة التسليم (الهدف)]]-Table1[[#This Row],[مدة التسليم الفعلية]]</f>
        <v>16</v>
      </c>
      <c r="S59" t="str">
        <f>IF(Table1[[#This Row],[Column1]]&lt;=0,"متأخرة","مسلمة في الموعد")</f>
        <v>مسلمة في الموعد</v>
      </c>
      <c r="T59" s="1">
        <v>45549</v>
      </c>
      <c r="U59" s="1">
        <v>45594</v>
      </c>
      <c r="V59" s="1">
        <v>45578</v>
      </c>
      <c r="W59" t="s">
        <v>72</v>
      </c>
      <c r="X59" t="s">
        <v>29</v>
      </c>
    </row>
    <row r="60" spans="1:24" x14ac:dyDescent="0.25">
      <c r="A60">
        <v>59</v>
      </c>
      <c r="B60" t="s">
        <v>19</v>
      </c>
      <c r="C60" t="s">
        <v>174</v>
      </c>
      <c r="D60" t="s">
        <v>175</v>
      </c>
      <c r="E60" t="s">
        <v>300</v>
      </c>
      <c r="F60" t="s">
        <v>22</v>
      </c>
      <c r="G60" t="s">
        <v>42</v>
      </c>
      <c r="H60" t="s">
        <v>80</v>
      </c>
      <c r="K60" t="s">
        <v>288</v>
      </c>
      <c r="M60" t="s">
        <v>81</v>
      </c>
      <c r="N60" s="3">
        <v>10319</v>
      </c>
      <c r="O60" t="s">
        <v>27</v>
      </c>
      <c r="P60">
        <f>IF(OR(ISBLANK(Table1[[#This Row],[ميعاد التسليم]]),ISBLANK(Table1[[#This Row],[ميعاد الطلب]])),0,Table1[[#This Row],[ميعاد التسليم]]-Table1[[#This Row],[ميعاد الطلب]])</f>
        <v>45</v>
      </c>
      <c r="Q60">
        <f>IF(OR(ISBLANK(Table1[[#This Row],[تاريخ التسليم]]),ISBLANK(Table1[[#This Row],[ميعاد الطلب]])),0,Table1[[#This Row],[تاريخ التسليم]]-Table1[[#This Row],[ميعاد الطلب]])</f>
        <v>35</v>
      </c>
      <c r="R60">
        <f>Table1[[#This Row],[مدة التسليم (الهدف)]]-Table1[[#This Row],[مدة التسليم الفعلية]]</f>
        <v>10</v>
      </c>
      <c r="S60" t="str">
        <f>IF(Table1[[#This Row],[Column1]]&lt;=0,"متأخرة","مسلمة في الموعد")</f>
        <v>مسلمة في الموعد</v>
      </c>
      <c r="T60" s="1">
        <v>45549</v>
      </c>
      <c r="U60" s="1">
        <v>45594</v>
      </c>
      <c r="V60" s="1">
        <v>45584</v>
      </c>
      <c r="W60" t="s">
        <v>72</v>
      </c>
      <c r="X60" t="s">
        <v>29</v>
      </c>
    </row>
    <row r="61" spans="1:24" x14ac:dyDescent="0.25">
      <c r="A61">
        <v>60</v>
      </c>
      <c r="B61" t="s">
        <v>19</v>
      </c>
      <c r="C61" t="s">
        <v>176</v>
      </c>
      <c r="D61" t="s">
        <v>177</v>
      </c>
      <c r="E61" t="s">
        <v>177</v>
      </c>
      <c r="F61" t="s">
        <v>22</v>
      </c>
      <c r="G61" t="s">
        <v>23</v>
      </c>
      <c r="H61" t="s">
        <v>36</v>
      </c>
      <c r="I61" t="s">
        <v>37</v>
      </c>
      <c r="J61">
        <v>120</v>
      </c>
      <c r="K61" t="s">
        <v>46</v>
      </c>
      <c r="M61" t="s">
        <v>178</v>
      </c>
      <c r="N61" s="3">
        <v>12999</v>
      </c>
      <c r="O61" t="s">
        <v>111</v>
      </c>
      <c r="P61">
        <f>IF(OR(ISBLANK(Table1[[#This Row],[ميعاد التسليم]]),ISBLANK(Table1[[#This Row],[ميعاد الطلب]])),0,Table1[[#This Row],[ميعاد التسليم]]-Table1[[#This Row],[ميعاد الطلب]])</f>
        <v>67</v>
      </c>
      <c r="Q61">
        <f>IF(OR(ISBLANK(Table1[[#This Row],[تاريخ التسليم]]),ISBLANK(Table1[[#This Row],[ميعاد الطلب]])),0,Table1[[#This Row],[تاريخ التسليم]]-Table1[[#This Row],[ميعاد الطلب]])</f>
        <v>33</v>
      </c>
      <c r="R61">
        <f>Table1[[#This Row],[مدة التسليم (الهدف)]]-Table1[[#This Row],[مدة التسليم الفعلية]]</f>
        <v>34</v>
      </c>
      <c r="S61" t="str">
        <f>IF(Table1[[#This Row],[Column1]]&lt;=0,"متأخرة","مسلمة في الموعد")</f>
        <v>مسلمة في الموعد</v>
      </c>
      <c r="T61" s="1">
        <v>45549</v>
      </c>
      <c r="U61" s="1">
        <v>45616</v>
      </c>
      <c r="V61" s="1">
        <v>45582</v>
      </c>
      <c r="W61" t="s">
        <v>28</v>
      </c>
      <c r="X61" t="s">
        <v>29</v>
      </c>
    </row>
    <row r="62" spans="1:24" x14ac:dyDescent="0.25">
      <c r="A62">
        <v>61</v>
      </c>
      <c r="B62" t="s">
        <v>19</v>
      </c>
      <c r="C62" t="s">
        <v>179</v>
      </c>
      <c r="D62" t="s">
        <v>180</v>
      </c>
      <c r="F62" t="s">
        <v>22</v>
      </c>
      <c r="G62" t="s">
        <v>50</v>
      </c>
      <c r="H62" t="s">
        <v>51</v>
      </c>
      <c r="K62" t="s">
        <v>32</v>
      </c>
      <c r="L62" t="s">
        <v>46</v>
      </c>
      <c r="M62" t="s">
        <v>153</v>
      </c>
      <c r="N62" s="3">
        <v>21999</v>
      </c>
      <c r="O62" t="s">
        <v>27</v>
      </c>
      <c r="P62">
        <f>IF(OR(ISBLANK(Table1[[#This Row],[ميعاد التسليم]]),ISBLANK(Table1[[#This Row],[ميعاد الطلب]])),0,Table1[[#This Row],[ميعاد التسليم]]-Table1[[#This Row],[ميعاد الطلب]])</f>
        <v>67</v>
      </c>
      <c r="Q62">
        <f>IF(OR(ISBLANK(Table1[[#This Row],[تاريخ التسليم]]),ISBLANK(Table1[[#This Row],[ميعاد الطلب]])),0,Table1[[#This Row],[تاريخ التسليم]]-Table1[[#This Row],[ميعاد الطلب]])</f>
        <v>0</v>
      </c>
      <c r="R62">
        <f>Table1[[#This Row],[مدة التسليم (الهدف)]]-Table1[[#This Row],[مدة التسليم الفعلية]]</f>
        <v>67</v>
      </c>
      <c r="S62" t="str">
        <f>IF(Table1[[#This Row],[Column1]]&lt;=0,"متأخرة","مسلمة في الموعد")</f>
        <v>مسلمة في الموعد</v>
      </c>
      <c r="T62" s="1">
        <v>45549</v>
      </c>
      <c r="U62" s="1">
        <v>45616</v>
      </c>
      <c r="X62" t="s">
        <v>69</v>
      </c>
    </row>
    <row r="63" spans="1:24" x14ac:dyDescent="0.25">
      <c r="A63">
        <v>62</v>
      </c>
      <c r="B63" t="s">
        <v>19</v>
      </c>
      <c r="C63" t="s">
        <v>181</v>
      </c>
      <c r="D63" t="s">
        <v>141</v>
      </c>
      <c r="E63" t="s">
        <v>299</v>
      </c>
      <c r="F63" t="s">
        <v>22</v>
      </c>
      <c r="G63" t="s">
        <v>23</v>
      </c>
      <c r="H63" t="s">
        <v>36</v>
      </c>
      <c r="I63" t="s">
        <v>45</v>
      </c>
      <c r="J63">
        <v>100</v>
      </c>
      <c r="K63" t="s">
        <v>46</v>
      </c>
      <c r="M63" t="s">
        <v>182</v>
      </c>
      <c r="N63" s="3">
        <v>12399</v>
      </c>
      <c r="O63" t="s">
        <v>27</v>
      </c>
      <c r="P63">
        <f>IF(OR(ISBLANK(Table1[[#This Row],[ميعاد التسليم]]),ISBLANK(Table1[[#This Row],[ميعاد الطلب]])),0,Table1[[#This Row],[ميعاد التسليم]]-Table1[[#This Row],[ميعاد الطلب]])</f>
        <v>67</v>
      </c>
      <c r="Q63">
        <f>IF(OR(ISBLANK(Table1[[#This Row],[تاريخ التسليم]]),ISBLANK(Table1[[#This Row],[ميعاد الطلب]])),0,Table1[[#This Row],[تاريخ التسليم]]-Table1[[#This Row],[ميعاد الطلب]])</f>
        <v>17</v>
      </c>
      <c r="R63">
        <f>Table1[[#This Row],[مدة التسليم (الهدف)]]-Table1[[#This Row],[مدة التسليم الفعلية]]</f>
        <v>50</v>
      </c>
      <c r="S63" t="str">
        <f>IF(Table1[[#This Row],[Column1]]&lt;=0,"متأخرة","مسلمة في الموعد")</f>
        <v>مسلمة في الموعد</v>
      </c>
      <c r="T63" s="1">
        <v>45549</v>
      </c>
      <c r="U63" s="1">
        <v>45616</v>
      </c>
      <c r="V63" s="1">
        <v>45566</v>
      </c>
      <c r="W63" t="s">
        <v>28</v>
      </c>
      <c r="X63" t="s">
        <v>29</v>
      </c>
    </row>
    <row r="64" spans="1:24" x14ac:dyDescent="0.25">
      <c r="A64">
        <v>63</v>
      </c>
      <c r="B64" t="s">
        <v>19</v>
      </c>
      <c r="C64" t="s">
        <v>183</v>
      </c>
      <c r="D64" t="s">
        <v>91</v>
      </c>
      <c r="E64" t="s">
        <v>299</v>
      </c>
      <c r="F64" t="s">
        <v>22</v>
      </c>
      <c r="G64" t="s">
        <v>50</v>
      </c>
      <c r="H64" t="s">
        <v>51</v>
      </c>
      <c r="K64" t="s">
        <v>32</v>
      </c>
      <c r="L64" t="s">
        <v>46</v>
      </c>
      <c r="M64" t="s">
        <v>153</v>
      </c>
      <c r="N64" s="3">
        <v>21999</v>
      </c>
      <c r="O64" t="s">
        <v>27</v>
      </c>
      <c r="P64">
        <f>IF(OR(ISBLANK(Table1[[#This Row],[ميعاد التسليم]]),ISBLANK(Table1[[#This Row],[ميعاد الطلب]])),0,Table1[[#This Row],[ميعاد التسليم]]-Table1[[#This Row],[ميعاد الطلب]])</f>
        <v>67</v>
      </c>
      <c r="Q64">
        <f>IF(OR(ISBLANK(Table1[[#This Row],[تاريخ التسليم]]),ISBLANK(Table1[[#This Row],[ميعاد الطلب]])),0,Table1[[#This Row],[تاريخ التسليم]]-Table1[[#This Row],[ميعاد الطلب]])</f>
        <v>25</v>
      </c>
      <c r="R64">
        <f>Table1[[#This Row],[مدة التسليم (الهدف)]]-Table1[[#This Row],[مدة التسليم الفعلية]]</f>
        <v>42</v>
      </c>
      <c r="S64" t="str">
        <f>IF(Table1[[#This Row],[Column1]]&lt;=0,"متأخرة","مسلمة في الموعد")</f>
        <v>مسلمة في الموعد</v>
      </c>
      <c r="T64" s="1">
        <v>45549</v>
      </c>
      <c r="U64" s="1">
        <v>45616</v>
      </c>
      <c r="V64" s="1">
        <v>45574</v>
      </c>
      <c r="W64" t="s">
        <v>72</v>
      </c>
      <c r="X64" t="s">
        <v>29</v>
      </c>
    </row>
    <row r="65" spans="1:24" x14ac:dyDescent="0.25">
      <c r="A65">
        <v>64</v>
      </c>
      <c r="B65" t="s">
        <v>19</v>
      </c>
      <c r="C65" t="s">
        <v>184</v>
      </c>
      <c r="D65" t="s">
        <v>79</v>
      </c>
      <c r="E65" t="s">
        <v>299</v>
      </c>
      <c r="F65" t="s">
        <v>22</v>
      </c>
      <c r="G65" t="s">
        <v>23</v>
      </c>
      <c r="H65" t="s">
        <v>36</v>
      </c>
      <c r="I65" t="s">
        <v>45</v>
      </c>
      <c r="J65">
        <v>80</v>
      </c>
      <c r="K65" t="s">
        <v>25</v>
      </c>
      <c r="M65" t="s">
        <v>185</v>
      </c>
      <c r="N65" s="3">
        <v>10999</v>
      </c>
      <c r="O65" t="s">
        <v>111</v>
      </c>
      <c r="P65">
        <f>IF(OR(ISBLANK(Table1[[#This Row],[ميعاد التسليم]]),ISBLANK(Table1[[#This Row],[ميعاد الطلب]])),0,Table1[[#This Row],[ميعاد التسليم]]-Table1[[#This Row],[ميعاد الطلب]])</f>
        <v>67</v>
      </c>
      <c r="Q65">
        <f>IF(OR(ISBLANK(Table1[[#This Row],[تاريخ التسليم]]),ISBLANK(Table1[[#This Row],[ميعاد الطلب]])),0,Table1[[#This Row],[تاريخ التسليم]]-Table1[[#This Row],[ميعاد الطلب]])</f>
        <v>32</v>
      </c>
      <c r="R65">
        <f>Table1[[#This Row],[مدة التسليم (الهدف)]]-Table1[[#This Row],[مدة التسليم الفعلية]]</f>
        <v>35</v>
      </c>
      <c r="S65" t="str">
        <f>IF(Table1[[#This Row],[Column1]]&lt;=0,"متأخرة","مسلمة في الموعد")</f>
        <v>مسلمة في الموعد</v>
      </c>
      <c r="T65" s="1">
        <v>45549</v>
      </c>
      <c r="U65" s="1">
        <v>45616</v>
      </c>
      <c r="V65" s="1">
        <v>45581</v>
      </c>
      <c r="W65" t="s">
        <v>72</v>
      </c>
      <c r="X65" t="s">
        <v>29</v>
      </c>
    </row>
    <row r="66" spans="1:24" x14ac:dyDescent="0.25">
      <c r="A66">
        <v>65</v>
      </c>
      <c r="B66" t="s">
        <v>19</v>
      </c>
      <c r="C66" t="s">
        <v>186</v>
      </c>
      <c r="D66" t="s">
        <v>187</v>
      </c>
      <c r="E66" t="s">
        <v>299</v>
      </c>
      <c r="F66" t="s">
        <v>22</v>
      </c>
      <c r="G66" t="s">
        <v>23</v>
      </c>
      <c r="H66" t="s">
        <v>36</v>
      </c>
      <c r="I66" t="s">
        <v>37</v>
      </c>
      <c r="J66">
        <v>80</v>
      </c>
      <c r="K66" t="s">
        <v>25</v>
      </c>
      <c r="N66" s="3">
        <v>10999</v>
      </c>
      <c r="O66" t="s">
        <v>111</v>
      </c>
      <c r="P66">
        <f>IF(OR(ISBLANK(Table1[[#This Row],[ميعاد التسليم]]),ISBLANK(Table1[[#This Row],[ميعاد الطلب]])),0,Table1[[#This Row],[ميعاد التسليم]]-Table1[[#This Row],[ميعاد الطلب]])</f>
        <v>0</v>
      </c>
      <c r="Q66">
        <f>IF(OR(ISBLANK(Table1[[#This Row],[تاريخ التسليم]]),ISBLANK(Table1[[#This Row],[ميعاد الطلب]])),0,Table1[[#This Row],[تاريخ التسليم]]-Table1[[#This Row],[ميعاد الطلب]])</f>
        <v>0</v>
      </c>
      <c r="R66">
        <f>Table1[[#This Row],[مدة التسليم (الهدف)]]-Table1[[#This Row],[مدة التسليم الفعلية]]</f>
        <v>0</v>
      </c>
      <c r="S66" t="str">
        <f>IF(Table1[[#This Row],[Column1]]&lt;=0,"متأخرة","مسلمة في الموعد")</f>
        <v>متأخرة</v>
      </c>
      <c r="U66" s="1">
        <v>45616</v>
      </c>
      <c r="V66" s="1">
        <v>45581</v>
      </c>
      <c r="W66" t="s">
        <v>72</v>
      </c>
      <c r="X66" t="s">
        <v>29</v>
      </c>
    </row>
    <row r="67" spans="1:24" x14ac:dyDescent="0.25">
      <c r="A67">
        <v>66</v>
      </c>
      <c r="B67" t="s">
        <v>19</v>
      </c>
      <c r="C67" t="s">
        <v>186</v>
      </c>
      <c r="D67" t="s">
        <v>187</v>
      </c>
      <c r="E67" t="s">
        <v>299</v>
      </c>
      <c r="F67" t="s">
        <v>22</v>
      </c>
      <c r="G67" t="s">
        <v>23</v>
      </c>
      <c r="H67" t="s">
        <v>36</v>
      </c>
      <c r="I67" t="s">
        <v>37</v>
      </c>
      <c r="J67">
        <v>80</v>
      </c>
      <c r="K67" t="s">
        <v>25</v>
      </c>
      <c r="N67" s="3">
        <v>10999</v>
      </c>
      <c r="O67" t="s">
        <v>111</v>
      </c>
      <c r="P67">
        <f>IF(OR(ISBLANK(Table1[[#This Row],[ميعاد التسليم]]),ISBLANK(Table1[[#This Row],[ميعاد الطلب]])),0,Table1[[#This Row],[ميعاد التسليم]]-Table1[[#This Row],[ميعاد الطلب]])</f>
        <v>0</v>
      </c>
      <c r="Q67">
        <f>IF(OR(ISBLANK(Table1[[#This Row],[تاريخ التسليم]]),ISBLANK(Table1[[#This Row],[ميعاد الطلب]])),0,Table1[[#This Row],[تاريخ التسليم]]-Table1[[#This Row],[ميعاد الطلب]])</f>
        <v>0</v>
      </c>
      <c r="R67">
        <f>Table1[[#This Row],[مدة التسليم (الهدف)]]-Table1[[#This Row],[مدة التسليم الفعلية]]</f>
        <v>0</v>
      </c>
      <c r="S67" t="str">
        <f>IF(Table1[[#This Row],[Column1]]&lt;=0,"متأخرة","مسلمة في الموعد")</f>
        <v>متأخرة</v>
      </c>
      <c r="U67" s="1">
        <v>45616</v>
      </c>
      <c r="V67" s="1">
        <v>45581</v>
      </c>
      <c r="W67" t="s">
        <v>72</v>
      </c>
      <c r="X67" t="s">
        <v>29</v>
      </c>
    </row>
    <row r="68" spans="1:24" x14ac:dyDescent="0.25">
      <c r="A68">
        <v>67</v>
      </c>
      <c r="B68" t="s">
        <v>19</v>
      </c>
      <c r="C68" t="s">
        <v>188</v>
      </c>
      <c r="D68" t="s">
        <v>189</v>
      </c>
      <c r="E68" t="s">
        <v>299</v>
      </c>
      <c r="F68" t="s">
        <v>22</v>
      </c>
      <c r="G68" t="s">
        <v>50</v>
      </c>
      <c r="H68" t="s">
        <v>51</v>
      </c>
      <c r="K68" t="s">
        <v>32</v>
      </c>
      <c r="L68" t="s">
        <v>46</v>
      </c>
      <c r="N68" s="3">
        <v>21999</v>
      </c>
      <c r="O68" t="s">
        <v>111</v>
      </c>
      <c r="P68">
        <f>IF(OR(ISBLANK(Table1[[#This Row],[ميعاد التسليم]]),ISBLANK(Table1[[#This Row],[ميعاد الطلب]])),0,Table1[[#This Row],[ميعاد التسليم]]-Table1[[#This Row],[ميعاد الطلب]])</f>
        <v>0</v>
      </c>
      <c r="Q68">
        <f>IF(OR(ISBLANK(Table1[[#This Row],[تاريخ التسليم]]),ISBLANK(Table1[[#This Row],[ميعاد الطلب]])),0,Table1[[#This Row],[تاريخ التسليم]]-Table1[[#This Row],[ميعاد الطلب]])</f>
        <v>0</v>
      </c>
      <c r="R68">
        <f>Table1[[#This Row],[مدة التسليم (الهدف)]]-Table1[[#This Row],[مدة التسليم الفعلية]]</f>
        <v>0</v>
      </c>
      <c r="S68" t="str">
        <f>IF(Table1[[#This Row],[Column1]]&lt;=0,"متأخرة","مسلمة في الموعد")</f>
        <v>متأخرة</v>
      </c>
      <c r="U68" s="1">
        <v>45616</v>
      </c>
      <c r="V68" s="1">
        <v>45584</v>
      </c>
      <c r="W68" t="s">
        <v>72</v>
      </c>
      <c r="X68" t="s">
        <v>29</v>
      </c>
    </row>
    <row r="69" spans="1:24" x14ac:dyDescent="0.25">
      <c r="A69">
        <v>68</v>
      </c>
      <c r="B69" t="s">
        <v>19</v>
      </c>
      <c r="C69" t="s">
        <v>190</v>
      </c>
      <c r="D69" t="s">
        <v>113</v>
      </c>
      <c r="E69" t="s">
        <v>201</v>
      </c>
      <c r="F69" t="s">
        <v>22</v>
      </c>
      <c r="G69" t="s">
        <v>42</v>
      </c>
      <c r="H69" t="s">
        <v>80</v>
      </c>
      <c r="K69" t="s">
        <v>288</v>
      </c>
      <c r="N69" s="3">
        <v>7849</v>
      </c>
      <c r="O69">
        <v>6306</v>
      </c>
      <c r="P69">
        <f>IF(OR(ISBLANK(Table1[[#This Row],[ميعاد التسليم]]),ISBLANK(Table1[[#This Row],[ميعاد الطلب]])),0,Table1[[#This Row],[ميعاد التسليم]]-Table1[[#This Row],[ميعاد الطلب]])</f>
        <v>0</v>
      </c>
      <c r="Q69">
        <f>IF(OR(ISBLANK(Table1[[#This Row],[تاريخ التسليم]]),ISBLANK(Table1[[#This Row],[ميعاد الطلب]])),0,Table1[[#This Row],[تاريخ التسليم]]-Table1[[#This Row],[ميعاد الطلب]])</f>
        <v>0</v>
      </c>
      <c r="R69">
        <f>Table1[[#This Row],[مدة التسليم (الهدف)]]-Table1[[#This Row],[مدة التسليم الفعلية]]</f>
        <v>0</v>
      </c>
      <c r="S69" t="str">
        <f>IF(Table1[[#This Row],[Column1]]&lt;=0,"متأخرة","مسلمة في الموعد")</f>
        <v>متأخرة</v>
      </c>
      <c r="U69" s="1">
        <v>45595</v>
      </c>
      <c r="V69" s="1">
        <v>45610</v>
      </c>
      <c r="W69" t="s">
        <v>28</v>
      </c>
      <c r="X69" t="s">
        <v>29</v>
      </c>
    </row>
    <row r="70" spans="1:24" x14ac:dyDescent="0.25">
      <c r="A70">
        <v>69</v>
      </c>
      <c r="B70" t="s">
        <v>48</v>
      </c>
      <c r="C70" t="s">
        <v>105</v>
      </c>
      <c r="D70" t="s">
        <v>191</v>
      </c>
      <c r="E70" t="s">
        <v>300</v>
      </c>
      <c r="F70" t="s">
        <v>85</v>
      </c>
      <c r="G70" t="s">
        <v>23</v>
      </c>
      <c r="H70" t="s">
        <v>36</v>
      </c>
      <c r="I70" t="s">
        <v>37</v>
      </c>
      <c r="J70">
        <v>80</v>
      </c>
      <c r="K70" t="s">
        <v>25</v>
      </c>
      <c r="N70" s="3">
        <v>5074</v>
      </c>
      <c r="O70" t="s">
        <v>108</v>
      </c>
      <c r="P70">
        <f>IF(OR(ISBLANK(Table1[[#This Row],[ميعاد التسليم]]),ISBLANK(Table1[[#This Row],[ميعاد الطلب]])),0,Table1[[#This Row],[ميعاد التسليم]]-Table1[[#This Row],[ميعاد الطلب]])</f>
        <v>14</v>
      </c>
      <c r="Q70">
        <f>IF(OR(ISBLANK(Table1[[#This Row],[تاريخ التسليم]]),ISBLANK(Table1[[#This Row],[ميعاد الطلب]])),0,Table1[[#This Row],[تاريخ التسليم]]-Table1[[#This Row],[ميعاد الطلب]])</f>
        <v>21</v>
      </c>
      <c r="R70">
        <f>Table1[[#This Row],[مدة التسليم (الهدف)]]-Table1[[#This Row],[مدة التسليم الفعلية]]</f>
        <v>-7</v>
      </c>
      <c r="S70" t="str">
        <f>IF(Table1[[#This Row],[Column1]]&lt;=0,"متأخرة","مسلمة في الموعد")</f>
        <v>متأخرة</v>
      </c>
      <c r="T70" s="1">
        <v>45556</v>
      </c>
      <c r="U70" s="1">
        <v>45570</v>
      </c>
      <c r="V70" s="1">
        <v>45577</v>
      </c>
      <c r="W70" t="s">
        <v>72</v>
      </c>
      <c r="X70" t="s">
        <v>29</v>
      </c>
    </row>
    <row r="71" spans="1:24" x14ac:dyDescent="0.25">
      <c r="A71">
        <v>70</v>
      </c>
      <c r="B71" t="s">
        <v>48</v>
      </c>
      <c r="C71" t="s">
        <v>60</v>
      </c>
      <c r="D71" t="s">
        <v>61</v>
      </c>
      <c r="E71" t="s">
        <v>299</v>
      </c>
      <c r="F71" t="s">
        <v>62</v>
      </c>
      <c r="G71" t="s">
        <v>23</v>
      </c>
      <c r="H71" t="s">
        <v>36</v>
      </c>
      <c r="I71" t="s">
        <v>89</v>
      </c>
      <c r="J71">
        <v>100</v>
      </c>
      <c r="K71" t="s">
        <v>203</v>
      </c>
      <c r="N71" s="3">
        <v>6250</v>
      </c>
      <c r="O71" t="s">
        <v>108</v>
      </c>
      <c r="P71">
        <f>IF(OR(ISBLANK(Table1[[#This Row],[ميعاد التسليم]]),ISBLANK(Table1[[#This Row],[ميعاد الطلب]])),0,Table1[[#This Row],[ميعاد التسليم]]-Table1[[#This Row],[ميعاد الطلب]])</f>
        <v>15</v>
      </c>
      <c r="Q71">
        <f>IF(OR(ISBLANK(Table1[[#This Row],[تاريخ التسليم]]),ISBLANK(Table1[[#This Row],[ميعاد الطلب]])),0,Table1[[#This Row],[تاريخ التسليم]]-Table1[[#This Row],[ميعاد الطلب]])</f>
        <v>24</v>
      </c>
      <c r="R71">
        <f>Table1[[#This Row],[مدة التسليم (الهدف)]]-Table1[[#This Row],[مدة التسليم الفعلية]]</f>
        <v>-9</v>
      </c>
      <c r="S71" t="str">
        <f>IF(Table1[[#This Row],[Column1]]&lt;=0,"متأخرة","مسلمة في الموعد")</f>
        <v>متأخرة</v>
      </c>
      <c r="T71" s="1">
        <v>45558</v>
      </c>
      <c r="U71" s="1">
        <v>45573</v>
      </c>
      <c r="V71" s="1">
        <v>45582</v>
      </c>
      <c r="W71" t="s">
        <v>72</v>
      </c>
      <c r="X71" t="s">
        <v>29</v>
      </c>
    </row>
    <row r="72" spans="1:24" x14ac:dyDescent="0.25">
      <c r="A72">
        <v>71</v>
      </c>
      <c r="B72" t="s">
        <v>48</v>
      </c>
      <c r="C72" t="s">
        <v>60</v>
      </c>
      <c r="D72" t="s">
        <v>61</v>
      </c>
      <c r="E72" t="s">
        <v>299</v>
      </c>
      <c r="F72" t="s">
        <v>62</v>
      </c>
      <c r="G72" t="s">
        <v>23</v>
      </c>
      <c r="H72" t="s">
        <v>36</v>
      </c>
      <c r="I72" t="s">
        <v>89</v>
      </c>
      <c r="J72">
        <v>100</v>
      </c>
      <c r="K72" t="s">
        <v>203</v>
      </c>
      <c r="N72" s="3">
        <v>6250</v>
      </c>
      <c r="O72" t="s">
        <v>108</v>
      </c>
      <c r="P72">
        <f>IF(OR(ISBLANK(Table1[[#This Row],[ميعاد التسليم]]),ISBLANK(Table1[[#This Row],[ميعاد الطلب]])),0,Table1[[#This Row],[ميعاد التسليم]]-Table1[[#This Row],[ميعاد الطلب]])</f>
        <v>15</v>
      </c>
      <c r="Q72">
        <f>IF(OR(ISBLANK(Table1[[#This Row],[تاريخ التسليم]]),ISBLANK(Table1[[#This Row],[ميعاد الطلب]])),0,Table1[[#This Row],[تاريخ التسليم]]-Table1[[#This Row],[ميعاد الطلب]])</f>
        <v>24</v>
      </c>
      <c r="R72">
        <f>Table1[[#This Row],[مدة التسليم (الهدف)]]-Table1[[#This Row],[مدة التسليم الفعلية]]</f>
        <v>-9</v>
      </c>
      <c r="S72" t="str">
        <f>IF(Table1[[#This Row],[Column1]]&lt;=0,"متأخرة","مسلمة في الموعد")</f>
        <v>متأخرة</v>
      </c>
      <c r="T72" s="1">
        <v>45558</v>
      </c>
      <c r="U72" s="1">
        <v>45573</v>
      </c>
      <c r="V72" s="1">
        <v>45582</v>
      </c>
      <c r="W72" t="s">
        <v>72</v>
      </c>
      <c r="X72" t="s">
        <v>29</v>
      </c>
    </row>
    <row r="73" spans="1:24" x14ac:dyDescent="0.25">
      <c r="A73">
        <v>72</v>
      </c>
      <c r="B73" t="s">
        <v>19</v>
      </c>
      <c r="C73" t="s">
        <v>192</v>
      </c>
      <c r="D73" t="s">
        <v>61</v>
      </c>
      <c r="E73" t="s">
        <v>299</v>
      </c>
      <c r="F73" t="s">
        <v>22</v>
      </c>
      <c r="G73" t="s">
        <v>23</v>
      </c>
      <c r="H73" t="s">
        <v>58</v>
      </c>
      <c r="I73" t="s">
        <v>92</v>
      </c>
      <c r="J73">
        <v>120</v>
      </c>
      <c r="K73" t="s">
        <v>25</v>
      </c>
      <c r="N73" s="3">
        <v>8943</v>
      </c>
      <c r="O73">
        <v>9033</v>
      </c>
      <c r="P73">
        <f>IF(OR(ISBLANK(Table1[[#This Row],[ميعاد التسليم]]),ISBLANK(Table1[[#This Row],[ميعاد الطلب]])),0,Table1[[#This Row],[ميعاد التسليم]]-Table1[[#This Row],[ميعاد الطلب]])</f>
        <v>45</v>
      </c>
      <c r="Q73">
        <f>IF(OR(ISBLANK(Table1[[#This Row],[تاريخ التسليم]]),ISBLANK(Table1[[#This Row],[ميعاد الطلب]])),0,Table1[[#This Row],[تاريخ التسليم]]-Table1[[#This Row],[ميعاد الطلب]])</f>
        <v>14</v>
      </c>
      <c r="R73">
        <f>Table1[[#This Row],[مدة التسليم (الهدف)]]-Table1[[#This Row],[مدة التسليم الفعلية]]</f>
        <v>31</v>
      </c>
      <c r="S73" t="str">
        <f>IF(Table1[[#This Row],[Column1]]&lt;=0,"متأخرة","مسلمة في الموعد")</f>
        <v>مسلمة في الموعد</v>
      </c>
      <c r="T73" s="1">
        <v>45561</v>
      </c>
      <c r="U73" s="1">
        <v>45606</v>
      </c>
      <c r="V73" s="1">
        <v>45575</v>
      </c>
      <c r="W73" t="s">
        <v>72</v>
      </c>
      <c r="X73" t="s">
        <v>29</v>
      </c>
    </row>
    <row r="74" spans="1:24" x14ac:dyDescent="0.25">
      <c r="A74">
        <v>73</v>
      </c>
      <c r="B74" t="s">
        <v>19</v>
      </c>
      <c r="C74" t="s">
        <v>193</v>
      </c>
      <c r="D74" t="s">
        <v>194</v>
      </c>
      <c r="F74" t="s">
        <v>22</v>
      </c>
      <c r="G74" t="s">
        <v>42</v>
      </c>
      <c r="H74" t="s">
        <v>117</v>
      </c>
      <c r="K74" t="s">
        <v>288</v>
      </c>
      <c r="N74" s="3">
        <v>8349</v>
      </c>
      <c r="O74">
        <v>8433</v>
      </c>
      <c r="P74">
        <f>IF(OR(ISBLANK(Table1[[#This Row],[ميعاد التسليم]]),ISBLANK(Table1[[#This Row],[ميعاد الطلب]])),0,Table1[[#This Row],[ميعاد التسليم]]-Table1[[#This Row],[ميعاد الطلب]])</f>
        <v>45</v>
      </c>
      <c r="Q74">
        <f>IF(OR(ISBLANK(Table1[[#This Row],[تاريخ التسليم]]),ISBLANK(Table1[[#This Row],[ميعاد الطلب]])),0,Table1[[#This Row],[تاريخ التسليم]]-Table1[[#This Row],[ميعاد الطلب]])</f>
        <v>0</v>
      </c>
      <c r="R74">
        <f>Table1[[#This Row],[مدة التسليم (الهدف)]]-Table1[[#This Row],[مدة التسليم الفعلية]]</f>
        <v>45</v>
      </c>
      <c r="S74" t="str">
        <f>IF(Table1[[#This Row],[Column1]]&lt;=0,"متأخرة","مسلمة في الموعد")</f>
        <v>مسلمة في الموعد</v>
      </c>
      <c r="T74" s="1">
        <v>45561</v>
      </c>
      <c r="U74" s="1">
        <v>45606</v>
      </c>
      <c r="X74" t="s">
        <v>69</v>
      </c>
    </row>
    <row r="75" spans="1:24" x14ac:dyDescent="0.25">
      <c r="A75">
        <v>74</v>
      </c>
      <c r="B75" t="s">
        <v>48</v>
      </c>
      <c r="C75" t="s">
        <v>49</v>
      </c>
      <c r="D75" t="s">
        <v>195</v>
      </c>
      <c r="E75" t="s">
        <v>299</v>
      </c>
      <c r="F75" t="s">
        <v>49</v>
      </c>
      <c r="G75" t="s">
        <v>50</v>
      </c>
      <c r="H75" t="s">
        <v>196</v>
      </c>
      <c r="K75" t="s">
        <v>197</v>
      </c>
      <c r="L75" t="s">
        <v>197</v>
      </c>
      <c r="N75" s="3">
        <v>14950</v>
      </c>
      <c r="O75" t="s">
        <v>27</v>
      </c>
      <c r="P75">
        <f>IF(OR(ISBLANK(Table1[[#This Row],[ميعاد التسليم]]),ISBLANK(Table1[[#This Row],[ميعاد الطلب]])),0,Table1[[#This Row],[ميعاد التسليم]]-Table1[[#This Row],[ميعاد الطلب]])</f>
        <v>18</v>
      </c>
      <c r="Q75">
        <f>IF(OR(ISBLANK(Table1[[#This Row],[تاريخ التسليم]]),ISBLANK(Table1[[#This Row],[ميعاد الطلب]])),0,Table1[[#This Row],[تاريخ التسليم]]-Table1[[#This Row],[ميعاد الطلب]])</f>
        <v>17</v>
      </c>
      <c r="R75">
        <f>Table1[[#This Row],[مدة التسليم (الهدف)]]-Table1[[#This Row],[مدة التسليم الفعلية]]</f>
        <v>1</v>
      </c>
      <c r="S75" t="str">
        <f>IF(Table1[[#This Row],[Column1]]&lt;=0,"متأخرة","مسلمة في الموعد")</f>
        <v>مسلمة في الموعد</v>
      </c>
      <c r="T75" s="1">
        <v>45561</v>
      </c>
      <c r="U75" s="1">
        <v>45579</v>
      </c>
      <c r="V75" s="1">
        <v>45578</v>
      </c>
      <c r="W75" t="s">
        <v>72</v>
      </c>
      <c r="X75" t="s">
        <v>29</v>
      </c>
    </row>
    <row r="76" spans="1:24" x14ac:dyDescent="0.25">
      <c r="A76">
        <v>75</v>
      </c>
      <c r="B76" t="s">
        <v>48</v>
      </c>
      <c r="C76" t="s">
        <v>49</v>
      </c>
      <c r="F76" t="s">
        <v>49</v>
      </c>
      <c r="G76" t="s">
        <v>23</v>
      </c>
      <c r="H76" t="s">
        <v>36</v>
      </c>
      <c r="I76" t="s">
        <v>89</v>
      </c>
      <c r="J76">
        <v>100</v>
      </c>
      <c r="K76" t="s">
        <v>198</v>
      </c>
      <c r="N76" s="3">
        <v>9208</v>
      </c>
      <c r="O76">
        <v>9608</v>
      </c>
      <c r="P76">
        <f>IF(OR(ISBLANK(Table1[[#This Row],[ميعاد التسليم]]),ISBLANK(Table1[[#This Row],[ميعاد الطلب]])),0,Table1[[#This Row],[ميعاد التسليم]]-Table1[[#This Row],[ميعاد الطلب]])</f>
        <v>18</v>
      </c>
      <c r="Q76">
        <f>IF(OR(ISBLANK(Table1[[#This Row],[تاريخ التسليم]]),ISBLANK(Table1[[#This Row],[ميعاد الطلب]])),0,Table1[[#This Row],[تاريخ التسليم]]-Table1[[#This Row],[ميعاد الطلب]])</f>
        <v>0</v>
      </c>
      <c r="R76">
        <f>Table1[[#This Row],[مدة التسليم (الهدف)]]-Table1[[#This Row],[مدة التسليم الفعلية]]</f>
        <v>18</v>
      </c>
      <c r="S76" t="str">
        <f>IF(Table1[[#This Row],[Column1]]&lt;=0,"متأخرة","مسلمة في الموعد")</f>
        <v>مسلمة في الموعد</v>
      </c>
      <c r="T76" s="1">
        <v>45561</v>
      </c>
      <c r="U76" s="1">
        <v>45579</v>
      </c>
      <c r="X76" t="s">
        <v>69</v>
      </c>
    </row>
    <row r="77" spans="1:24" x14ac:dyDescent="0.25">
      <c r="A77">
        <v>76</v>
      </c>
      <c r="B77" t="s">
        <v>48</v>
      </c>
      <c r="C77" t="s">
        <v>49</v>
      </c>
      <c r="F77" t="s">
        <v>49</v>
      </c>
      <c r="G77" t="s">
        <v>23</v>
      </c>
      <c r="H77" t="s">
        <v>58</v>
      </c>
      <c r="I77" t="s">
        <v>100</v>
      </c>
      <c r="J77">
        <v>120</v>
      </c>
      <c r="K77" t="s">
        <v>25</v>
      </c>
      <c r="N77" s="3">
        <v>7433</v>
      </c>
      <c r="O77" t="s">
        <v>27</v>
      </c>
      <c r="P77">
        <f>IF(OR(ISBLANK(Table1[[#This Row],[ميعاد التسليم]]),ISBLANK(Table1[[#This Row],[ميعاد الطلب]])),0,Table1[[#This Row],[ميعاد التسليم]]-Table1[[#This Row],[ميعاد الطلب]])</f>
        <v>21</v>
      </c>
      <c r="Q77">
        <f>IF(OR(ISBLANK(Table1[[#This Row],[تاريخ التسليم]]),ISBLANK(Table1[[#This Row],[ميعاد الطلب]])),0,Table1[[#This Row],[تاريخ التسليم]]-Table1[[#This Row],[ميعاد الطلب]])</f>
        <v>22</v>
      </c>
      <c r="R77">
        <f>Table1[[#This Row],[مدة التسليم (الهدف)]]-Table1[[#This Row],[مدة التسليم الفعلية]]</f>
        <v>-1</v>
      </c>
      <c r="S77" t="str">
        <f>IF(Table1[[#This Row],[Column1]]&lt;=0,"متأخرة","مسلمة في الموعد")</f>
        <v>متأخرة</v>
      </c>
      <c r="T77" s="1">
        <v>45564</v>
      </c>
      <c r="U77" s="1">
        <v>45585</v>
      </c>
      <c r="V77" s="1">
        <v>45586</v>
      </c>
      <c r="W77" t="s">
        <v>72</v>
      </c>
      <c r="X77" t="s">
        <v>29</v>
      </c>
    </row>
    <row r="78" spans="1:24" x14ac:dyDescent="0.25">
      <c r="A78">
        <v>77</v>
      </c>
      <c r="B78" t="s">
        <v>48</v>
      </c>
      <c r="C78" t="s">
        <v>105</v>
      </c>
      <c r="D78" t="s">
        <v>191</v>
      </c>
      <c r="E78" t="s">
        <v>300</v>
      </c>
      <c r="F78" t="s">
        <v>85</v>
      </c>
      <c r="G78" t="s">
        <v>23</v>
      </c>
      <c r="H78" t="s">
        <v>58</v>
      </c>
      <c r="I78" t="s">
        <v>92</v>
      </c>
      <c r="J78">
        <v>120</v>
      </c>
      <c r="K78" t="s">
        <v>25</v>
      </c>
      <c r="N78" s="3">
        <v>4020</v>
      </c>
      <c r="O78" t="s">
        <v>108</v>
      </c>
      <c r="P78">
        <f>IF(OR(ISBLANK(Table1[[#This Row],[ميعاد التسليم]]),ISBLANK(Table1[[#This Row],[ميعاد الطلب]])),0,Table1[[#This Row],[ميعاد التسليم]]-Table1[[#This Row],[ميعاد الطلب]])</f>
        <v>13</v>
      </c>
      <c r="Q78">
        <f>IF(OR(ISBLANK(Table1[[#This Row],[تاريخ التسليم]]),ISBLANK(Table1[[#This Row],[ميعاد الطلب]])),0,Table1[[#This Row],[تاريخ التسليم]]-Table1[[#This Row],[ميعاد الطلب]])</f>
        <v>13</v>
      </c>
      <c r="R78">
        <f>Table1[[#This Row],[مدة التسليم (الهدف)]]-Table1[[#This Row],[مدة التسليم الفعلية]]</f>
        <v>0</v>
      </c>
      <c r="S78" t="str">
        <f>IF(Table1[[#This Row],[Column1]]&lt;=0,"متأخرة","مسلمة في الموعد")</f>
        <v>متأخرة</v>
      </c>
      <c r="T78" s="1">
        <v>45564</v>
      </c>
      <c r="U78" s="1">
        <v>45577</v>
      </c>
      <c r="V78" s="1">
        <v>45577</v>
      </c>
      <c r="W78" t="s">
        <v>72</v>
      </c>
      <c r="X78" t="s">
        <v>29</v>
      </c>
    </row>
    <row r="79" spans="1:24" x14ac:dyDescent="0.25">
      <c r="A79">
        <v>78</v>
      </c>
      <c r="B79" t="s">
        <v>19</v>
      </c>
      <c r="C79" t="s">
        <v>199</v>
      </c>
      <c r="D79" t="s">
        <v>200</v>
      </c>
      <c r="E79" t="s">
        <v>201</v>
      </c>
      <c r="F79" t="s">
        <v>201</v>
      </c>
      <c r="G79" t="s">
        <v>23</v>
      </c>
      <c r="H79" t="s">
        <v>36</v>
      </c>
      <c r="I79" t="s">
        <v>202</v>
      </c>
      <c r="J79">
        <v>100</v>
      </c>
      <c r="K79" t="s">
        <v>203</v>
      </c>
      <c r="N79" s="3">
        <v>8544.9054400000005</v>
      </c>
      <c r="P79">
        <f>IF(OR(ISBLANK(Table1[[#This Row],[ميعاد التسليم]]),ISBLANK(Table1[[#This Row],[ميعاد الطلب]])),0,Table1[[#This Row],[ميعاد التسليم]]-Table1[[#This Row],[ميعاد الطلب]])</f>
        <v>8</v>
      </c>
      <c r="Q79">
        <f>IF(OR(ISBLANK(Table1[[#This Row],[تاريخ التسليم]]),ISBLANK(Table1[[#This Row],[ميعاد الطلب]])),0,Table1[[#This Row],[تاريخ التسليم]]-Table1[[#This Row],[ميعاد الطلب]])</f>
        <v>8</v>
      </c>
      <c r="R79">
        <f>Table1[[#This Row],[مدة التسليم (الهدف)]]-Table1[[#This Row],[مدة التسليم الفعلية]]</f>
        <v>0</v>
      </c>
      <c r="S79" t="str">
        <f>IF(Table1[[#This Row],[Column1]]&lt;=0,"متأخرة","مسلمة في الموعد")</f>
        <v>متأخرة</v>
      </c>
      <c r="T79" s="1">
        <v>45566</v>
      </c>
      <c r="U79" s="1">
        <v>45574</v>
      </c>
      <c r="V79" s="1">
        <v>45574</v>
      </c>
      <c r="W79" t="s">
        <v>204</v>
      </c>
      <c r="X79" t="s">
        <v>29</v>
      </c>
    </row>
    <row r="80" spans="1:24" x14ac:dyDescent="0.25">
      <c r="A80">
        <v>79</v>
      </c>
      <c r="B80" t="s">
        <v>19</v>
      </c>
      <c r="C80" t="s">
        <v>199</v>
      </c>
      <c r="D80" t="s">
        <v>200</v>
      </c>
      <c r="E80" t="s">
        <v>201</v>
      </c>
      <c r="F80" t="s">
        <v>201</v>
      </c>
      <c r="G80" t="s">
        <v>23</v>
      </c>
      <c r="H80" t="s">
        <v>24</v>
      </c>
      <c r="K80" t="s">
        <v>32</v>
      </c>
      <c r="L80" t="s">
        <v>205</v>
      </c>
      <c r="N80" s="3">
        <v>4600</v>
      </c>
      <c r="P80">
        <f>IF(OR(ISBLANK(Table1[[#This Row],[ميعاد التسليم]]),ISBLANK(Table1[[#This Row],[ميعاد الطلب]])),0,Table1[[#This Row],[ميعاد التسليم]]-Table1[[#This Row],[ميعاد الطلب]])</f>
        <v>8</v>
      </c>
      <c r="Q80">
        <f>IF(OR(ISBLANK(Table1[[#This Row],[تاريخ التسليم]]),ISBLANK(Table1[[#This Row],[ميعاد الطلب]])),0,Table1[[#This Row],[تاريخ التسليم]]-Table1[[#This Row],[ميعاد الطلب]])</f>
        <v>8</v>
      </c>
      <c r="R80">
        <f>Table1[[#This Row],[مدة التسليم (الهدف)]]-Table1[[#This Row],[مدة التسليم الفعلية]]</f>
        <v>0</v>
      </c>
      <c r="S80" t="str">
        <f>IF(Table1[[#This Row],[Column1]]&lt;=0,"متأخرة","مسلمة في الموعد")</f>
        <v>متأخرة</v>
      </c>
      <c r="T80" s="1">
        <v>45566</v>
      </c>
      <c r="U80" s="1">
        <v>45574</v>
      </c>
      <c r="V80" s="1">
        <v>45574</v>
      </c>
      <c r="W80" t="s">
        <v>204</v>
      </c>
      <c r="X80" t="s">
        <v>29</v>
      </c>
    </row>
    <row r="81" spans="1:24" x14ac:dyDescent="0.25">
      <c r="A81">
        <v>80</v>
      </c>
      <c r="B81" t="s">
        <v>19</v>
      </c>
      <c r="C81" t="s">
        <v>199</v>
      </c>
      <c r="D81" t="s">
        <v>200</v>
      </c>
      <c r="E81" t="s">
        <v>201</v>
      </c>
      <c r="F81" t="s">
        <v>201</v>
      </c>
      <c r="G81" t="s">
        <v>50</v>
      </c>
      <c r="H81" t="s">
        <v>206</v>
      </c>
      <c r="K81" t="s">
        <v>32</v>
      </c>
      <c r="L81" t="s">
        <v>203</v>
      </c>
      <c r="N81" s="3">
        <v>10000</v>
      </c>
      <c r="P81">
        <f>IF(OR(ISBLANK(Table1[[#This Row],[ميعاد التسليم]]),ISBLANK(Table1[[#This Row],[ميعاد الطلب]])),0,Table1[[#This Row],[ميعاد التسليم]]-Table1[[#This Row],[ميعاد الطلب]])</f>
        <v>8</v>
      </c>
      <c r="Q81">
        <f>IF(OR(ISBLANK(Table1[[#This Row],[تاريخ التسليم]]),ISBLANK(Table1[[#This Row],[ميعاد الطلب]])),0,Table1[[#This Row],[تاريخ التسليم]]-Table1[[#This Row],[ميعاد الطلب]])</f>
        <v>8</v>
      </c>
      <c r="R81">
        <f>Table1[[#This Row],[مدة التسليم (الهدف)]]-Table1[[#This Row],[مدة التسليم الفعلية]]</f>
        <v>0</v>
      </c>
      <c r="S81" t="str">
        <f>IF(Table1[[#This Row],[Column1]]&lt;=0,"متأخرة","مسلمة في الموعد")</f>
        <v>متأخرة</v>
      </c>
      <c r="T81" s="1">
        <v>45566</v>
      </c>
      <c r="U81" s="1">
        <v>45574</v>
      </c>
      <c r="V81" s="1">
        <v>45574</v>
      </c>
      <c r="W81" t="s">
        <v>204</v>
      </c>
      <c r="X81" t="s">
        <v>29</v>
      </c>
    </row>
    <row r="82" spans="1:24" x14ac:dyDescent="0.25">
      <c r="A82">
        <v>81</v>
      </c>
      <c r="B82" t="s">
        <v>19</v>
      </c>
      <c r="C82" t="s">
        <v>199</v>
      </c>
      <c r="D82" t="s">
        <v>200</v>
      </c>
      <c r="E82" t="s">
        <v>201</v>
      </c>
      <c r="F82" t="s">
        <v>201</v>
      </c>
      <c r="G82" t="s">
        <v>207</v>
      </c>
      <c r="K82" t="s">
        <v>32</v>
      </c>
      <c r="L82" t="s">
        <v>197</v>
      </c>
      <c r="N82" s="3">
        <v>10000</v>
      </c>
      <c r="P82">
        <f>IF(OR(ISBLANK(Table1[[#This Row],[ميعاد التسليم]]),ISBLANK(Table1[[#This Row],[ميعاد الطلب]])),0,Table1[[#This Row],[ميعاد التسليم]]-Table1[[#This Row],[ميعاد الطلب]])</f>
        <v>8</v>
      </c>
      <c r="Q82">
        <f>IF(OR(ISBLANK(Table1[[#This Row],[تاريخ التسليم]]),ISBLANK(Table1[[#This Row],[ميعاد الطلب]])),0,Table1[[#This Row],[تاريخ التسليم]]-Table1[[#This Row],[ميعاد الطلب]])</f>
        <v>8</v>
      </c>
      <c r="R82">
        <f>Table1[[#This Row],[مدة التسليم (الهدف)]]-Table1[[#This Row],[مدة التسليم الفعلية]]</f>
        <v>0</v>
      </c>
      <c r="S82" t="str">
        <f>IF(Table1[[#This Row],[Column1]]&lt;=0,"متأخرة","مسلمة في الموعد")</f>
        <v>متأخرة</v>
      </c>
      <c r="T82" s="1">
        <v>45566</v>
      </c>
      <c r="U82" s="1">
        <v>45574</v>
      </c>
      <c r="V82" s="1">
        <v>45574</v>
      </c>
      <c r="W82" t="s">
        <v>204</v>
      </c>
      <c r="X82" t="s">
        <v>29</v>
      </c>
    </row>
    <row r="83" spans="1:24" x14ac:dyDescent="0.25">
      <c r="A83">
        <v>82</v>
      </c>
      <c r="B83" t="s">
        <v>19</v>
      </c>
      <c r="C83" t="s">
        <v>208</v>
      </c>
      <c r="D83" t="s">
        <v>209</v>
      </c>
      <c r="E83" t="s">
        <v>299</v>
      </c>
      <c r="F83" t="s">
        <v>22</v>
      </c>
      <c r="G83" t="s">
        <v>23</v>
      </c>
      <c r="H83" t="s">
        <v>24</v>
      </c>
      <c r="K83" t="s">
        <v>32</v>
      </c>
      <c r="L83" t="s">
        <v>32</v>
      </c>
      <c r="N83" s="3">
        <v>8899</v>
      </c>
      <c r="O83">
        <v>8988</v>
      </c>
      <c r="P83">
        <f>IF(OR(ISBLANK(Table1[[#This Row],[ميعاد التسليم]]),ISBLANK(Table1[[#This Row],[ميعاد الطلب]])),0,Table1[[#This Row],[ميعاد التسليم]]-Table1[[#This Row],[ميعاد الطلب]])</f>
        <v>45</v>
      </c>
      <c r="Q83">
        <f>IF(OR(ISBLANK(Table1[[#This Row],[تاريخ التسليم]]),ISBLANK(Table1[[#This Row],[ميعاد الطلب]])),0,Table1[[#This Row],[تاريخ التسليم]]-Table1[[#This Row],[ميعاد الطلب]])</f>
        <v>0</v>
      </c>
      <c r="R83">
        <f>Table1[[#This Row],[مدة التسليم (الهدف)]]-Table1[[#This Row],[مدة التسليم الفعلية]]</f>
        <v>45</v>
      </c>
      <c r="S83" t="str">
        <f>IF(Table1[[#This Row],[Column1]]&lt;=0,"متأخرة","مسلمة في الموعد")</f>
        <v>مسلمة في الموعد</v>
      </c>
      <c r="T83" s="1">
        <v>45568</v>
      </c>
      <c r="U83" s="1">
        <v>45613</v>
      </c>
      <c r="X83" t="s">
        <v>29</v>
      </c>
    </row>
    <row r="84" spans="1:24" x14ac:dyDescent="0.25">
      <c r="A84">
        <v>83</v>
      </c>
      <c r="B84" t="s">
        <v>48</v>
      </c>
      <c r="C84" t="s">
        <v>49</v>
      </c>
      <c r="D84" t="s">
        <v>210</v>
      </c>
      <c r="F84" t="s">
        <v>49</v>
      </c>
      <c r="G84" t="s">
        <v>50</v>
      </c>
      <c r="H84" t="s">
        <v>196</v>
      </c>
      <c r="K84" t="s">
        <v>198</v>
      </c>
      <c r="L84" t="s">
        <v>211</v>
      </c>
      <c r="N84" s="3">
        <v>14550</v>
      </c>
      <c r="O84" t="s">
        <v>27</v>
      </c>
      <c r="P84">
        <f>IF(OR(ISBLANK(Table1[[#This Row],[ميعاد التسليم]]),ISBLANK(Table1[[#This Row],[ميعاد الطلب]])),0,Table1[[#This Row],[ميعاد التسليم]]-Table1[[#This Row],[ميعاد الطلب]])</f>
        <v>21</v>
      </c>
      <c r="Q84">
        <f>IF(OR(ISBLANK(Table1[[#This Row],[تاريخ التسليم]]),ISBLANK(Table1[[#This Row],[ميعاد الطلب]])),0,Table1[[#This Row],[تاريخ التسليم]]-Table1[[#This Row],[ميعاد الطلب]])</f>
        <v>22</v>
      </c>
      <c r="R84">
        <f>Table1[[#This Row],[مدة التسليم (الهدف)]]-Table1[[#This Row],[مدة التسليم الفعلية]]</f>
        <v>-1</v>
      </c>
      <c r="S84" t="str">
        <f>IF(Table1[[#This Row],[Column1]]&lt;=0,"متأخرة","مسلمة في الموعد")</f>
        <v>متأخرة</v>
      </c>
      <c r="T84" s="1">
        <v>45573</v>
      </c>
      <c r="U84" s="1">
        <v>45594</v>
      </c>
      <c r="V84" s="1">
        <v>45595</v>
      </c>
      <c r="W84" t="s">
        <v>72</v>
      </c>
      <c r="X84" t="s">
        <v>29</v>
      </c>
    </row>
    <row r="85" spans="1:24" x14ac:dyDescent="0.25">
      <c r="A85">
        <v>84</v>
      </c>
      <c r="B85" t="s">
        <v>48</v>
      </c>
      <c r="C85" t="s">
        <v>49</v>
      </c>
      <c r="D85" t="s">
        <v>212</v>
      </c>
      <c r="E85" t="s">
        <v>297</v>
      </c>
      <c r="F85" t="s">
        <v>49</v>
      </c>
      <c r="G85" t="s">
        <v>50</v>
      </c>
      <c r="H85" t="s">
        <v>196</v>
      </c>
      <c r="K85" t="s">
        <v>198</v>
      </c>
      <c r="L85" t="s">
        <v>211</v>
      </c>
      <c r="N85" s="3">
        <v>14550</v>
      </c>
      <c r="O85" t="s">
        <v>27</v>
      </c>
      <c r="P85">
        <f>IF(OR(ISBLANK(Table1[[#This Row],[ميعاد التسليم]]),ISBLANK(Table1[[#This Row],[ميعاد الطلب]])),0,Table1[[#This Row],[ميعاد التسليم]]-Table1[[#This Row],[ميعاد الطلب]])</f>
        <v>22</v>
      </c>
      <c r="Q85">
        <f>IF(OR(ISBLANK(Table1[[#This Row],[تاريخ التسليم]]),ISBLANK(Table1[[#This Row],[ميعاد الطلب]])),0,Table1[[#This Row],[تاريخ التسليم]]-Table1[[#This Row],[ميعاد الطلب]])</f>
        <v>8</v>
      </c>
      <c r="R85">
        <f>Table1[[#This Row],[مدة التسليم (الهدف)]]-Table1[[#This Row],[مدة التسليم الفعلية]]</f>
        <v>14</v>
      </c>
      <c r="S85" t="str">
        <f>IF(Table1[[#This Row],[Column1]]&lt;=0,"متأخرة","مسلمة في الموعد")</f>
        <v>مسلمة في الموعد</v>
      </c>
      <c r="T85" s="1">
        <v>45572</v>
      </c>
      <c r="U85" s="1">
        <v>45594</v>
      </c>
      <c r="V85" s="1">
        <v>45580</v>
      </c>
      <c r="W85" t="s">
        <v>72</v>
      </c>
      <c r="X85" t="s">
        <v>29</v>
      </c>
    </row>
    <row r="86" spans="1:24" x14ac:dyDescent="0.25">
      <c r="A86">
        <v>85</v>
      </c>
      <c r="B86" t="s">
        <v>48</v>
      </c>
      <c r="C86" t="s">
        <v>49</v>
      </c>
      <c r="F86" t="s">
        <v>49</v>
      </c>
      <c r="G86" t="s">
        <v>50</v>
      </c>
      <c r="H86" t="s">
        <v>196</v>
      </c>
      <c r="K86" t="s">
        <v>198</v>
      </c>
      <c r="L86" t="s">
        <v>197</v>
      </c>
      <c r="N86" s="3">
        <v>14550</v>
      </c>
      <c r="O86">
        <v>11495</v>
      </c>
      <c r="P86">
        <f>IF(OR(ISBLANK(Table1[[#This Row],[ميعاد التسليم]]),ISBLANK(Table1[[#This Row],[ميعاد الطلب]])),0,Table1[[#This Row],[ميعاد التسليم]]-Table1[[#This Row],[ميعاد الطلب]])</f>
        <v>21</v>
      </c>
      <c r="Q86">
        <f>IF(OR(ISBLANK(Table1[[#This Row],[تاريخ التسليم]]),ISBLANK(Table1[[#This Row],[ميعاد الطلب]])),0,Table1[[#This Row],[تاريخ التسليم]]-Table1[[#This Row],[ميعاد الطلب]])</f>
        <v>23</v>
      </c>
      <c r="R86">
        <f>Table1[[#This Row],[مدة التسليم (الهدف)]]-Table1[[#This Row],[مدة التسليم الفعلية]]</f>
        <v>-2</v>
      </c>
      <c r="S86" t="str">
        <f>IF(Table1[[#This Row],[Column1]]&lt;=0,"متأخرة","مسلمة في الموعد")</f>
        <v>متأخرة</v>
      </c>
      <c r="T86" s="1">
        <v>45575</v>
      </c>
      <c r="U86" s="1">
        <v>45596</v>
      </c>
      <c r="V86" s="1">
        <v>45598</v>
      </c>
      <c r="W86" t="s">
        <v>72</v>
      </c>
      <c r="X86" t="s">
        <v>29</v>
      </c>
    </row>
    <row r="87" spans="1:24" x14ac:dyDescent="0.25">
      <c r="A87">
        <v>86</v>
      </c>
      <c r="B87" t="s">
        <v>19</v>
      </c>
      <c r="C87" t="s">
        <v>213</v>
      </c>
      <c r="D87" t="s">
        <v>152</v>
      </c>
      <c r="E87" t="s">
        <v>299</v>
      </c>
      <c r="F87" t="s">
        <v>22</v>
      </c>
      <c r="G87" t="s">
        <v>23</v>
      </c>
      <c r="H87" t="s">
        <v>36</v>
      </c>
      <c r="I87" t="s">
        <v>214</v>
      </c>
      <c r="J87" t="s">
        <v>215</v>
      </c>
      <c r="K87" t="s">
        <v>216</v>
      </c>
      <c r="N87" s="3">
        <v>12899</v>
      </c>
      <c r="O87">
        <v>13028</v>
      </c>
      <c r="P87">
        <f>IF(OR(ISBLANK(Table1[[#This Row],[ميعاد التسليم]]),ISBLANK(Table1[[#This Row],[ميعاد الطلب]])),0,Table1[[#This Row],[ميعاد التسليم]]-Table1[[#This Row],[ميعاد الطلب]])</f>
        <v>65</v>
      </c>
      <c r="Q87">
        <f>IF(OR(ISBLANK(Table1[[#This Row],[تاريخ التسليم]]),ISBLANK(Table1[[#This Row],[ميعاد الطلب]])),0,Table1[[#This Row],[تاريخ التسليم]]-Table1[[#This Row],[ميعاد الطلب]])</f>
        <v>20</v>
      </c>
      <c r="R87">
        <f>Table1[[#This Row],[مدة التسليم (الهدف)]]-Table1[[#This Row],[مدة التسليم الفعلية]]</f>
        <v>45</v>
      </c>
      <c r="S87" t="str">
        <f>IF(Table1[[#This Row],[Column1]]&lt;=0,"متأخرة","مسلمة في الموعد")</f>
        <v>مسلمة في الموعد</v>
      </c>
      <c r="T87" s="1">
        <v>45578</v>
      </c>
      <c r="U87" s="1">
        <v>45643</v>
      </c>
      <c r="V87" s="1">
        <v>45598</v>
      </c>
      <c r="W87" t="s">
        <v>72</v>
      </c>
      <c r="X87" t="s">
        <v>29</v>
      </c>
    </row>
    <row r="88" spans="1:24" x14ac:dyDescent="0.25">
      <c r="A88">
        <v>87</v>
      </c>
      <c r="B88" t="s">
        <v>19</v>
      </c>
      <c r="C88" t="s">
        <v>217</v>
      </c>
      <c r="D88" t="s">
        <v>74</v>
      </c>
      <c r="E88" t="s">
        <v>299</v>
      </c>
      <c r="F88" t="s">
        <v>22</v>
      </c>
      <c r="G88" t="s">
        <v>23</v>
      </c>
      <c r="H88" t="s">
        <v>36</v>
      </c>
      <c r="I88" t="s">
        <v>37</v>
      </c>
      <c r="J88">
        <v>80</v>
      </c>
      <c r="K88" t="s">
        <v>25</v>
      </c>
      <c r="N88" s="3">
        <v>10499</v>
      </c>
      <c r="O88" t="s">
        <v>27</v>
      </c>
      <c r="P88">
        <f>IF(OR(ISBLANK(Table1[[#This Row],[ميعاد التسليم]]),ISBLANK(Table1[[#This Row],[ميعاد الطلب]])),0,Table1[[#This Row],[ميعاد التسليم]]-Table1[[#This Row],[ميعاد الطلب]])</f>
        <v>64</v>
      </c>
      <c r="Q88">
        <f>IF(OR(ISBLANK(Table1[[#This Row],[تاريخ التسليم]]),ISBLANK(Table1[[#This Row],[ميعاد الطلب]])),0,Table1[[#This Row],[تاريخ التسليم]]-Table1[[#This Row],[ميعاد الطلب]])</f>
        <v>5</v>
      </c>
      <c r="R88">
        <f>Table1[[#This Row],[مدة التسليم (الهدف)]]-Table1[[#This Row],[مدة التسليم الفعلية]]</f>
        <v>59</v>
      </c>
      <c r="S88" t="str">
        <f>IF(Table1[[#This Row],[Column1]]&lt;=0,"متأخرة","مسلمة في الموعد")</f>
        <v>مسلمة في الموعد</v>
      </c>
      <c r="T88" s="1">
        <v>45581</v>
      </c>
      <c r="U88" s="1">
        <v>45645</v>
      </c>
      <c r="V88" s="1">
        <v>45586</v>
      </c>
      <c r="W88" t="s">
        <v>72</v>
      </c>
      <c r="X88" t="s">
        <v>29</v>
      </c>
    </row>
    <row r="89" spans="1:24" x14ac:dyDescent="0.25">
      <c r="A89">
        <v>89</v>
      </c>
      <c r="B89" t="s">
        <v>19</v>
      </c>
      <c r="C89" t="s">
        <v>218</v>
      </c>
      <c r="D89" t="s">
        <v>219</v>
      </c>
      <c r="E89" t="s">
        <v>298</v>
      </c>
      <c r="F89" t="s">
        <v>22</v>
      </c>
      <c r="G89" t="s">
        <v>23</v>
      </c>
      <c r="H89" t="s">
        <v>36</v>
      </c>
      <c r="I89" t="s">
        <v>45</v>
      </c>
      <c r="J89" t="s">
        <v>220</v>
      </c>
      <c r="K89" t="s">
        <v>216</v>
      </c>
      <c r="N89" s="3">
        <v>12899</v>
      </c>
      <c r="O89" t="s">
        <v>27</v>
      </c>
      <c r="P89">
        <f>IF(OR(ISBLANK(Table1[[#This Row],[ميعاد التسليم]]),ISBLANK(Table1[[#This Row],[ميعاد الطلب]])),0,Table1[[#This Row],[ميعاد التسليم]]-Table1[[#This Row],[ميعاد الطلب]])</f>
        <v>66</v>
      </c>
      <c r="Q89">
        <f>IF(OR(ISBLANK(Table1[[#This Row],[تاريخ التسليم]]),ISBLANK(Table1[[#This Row],[ميعاد الطلب]])),0,Table1[[#This Row],[تاريخ التسليم]]-Table1[[#This Row],[ميعاد الطلب]])</f>
        <v>47</v>
      </c>
      <c r="R89">
        <f>Table1[[#This Row],[مدة التسليم (الهدف)]]-Table1[[#This Row],[مدة التسليم الفعلية]]</f>
        <v>19</v>
      </c>
      <c r="S89" t="str">
        <f>IF(Table1[[#This Row],[Column1]]&lt;=0,"متأخرة","مسلمة في الموعد")</f>
        <v>مسلمة في الموعد</v>
      </c>
      <c r="T89" s="1">
        <v>45582</v>
      </c>
      <c r="U89" s="1">
        <v>45648</v>
      </c>
      <c r="V89" s="1">
        <v>45629</v>
      </c>
      <c r="W89" t="s">
        <v>28</v>
      </c>
      <c r="X89" t="s">
        <v>29</v>
      </c>
    </row>
    <row r="90" spans="1:24" x14ac:dyDescent="0.25">
      <c r="A90">
        <v>90</v>
      </c>
      <c r="B90" t="s">
        <v>19</v>
      </c>
      <c r="C90" t="s">
        <v>221</v>
      </c>
      <c r="D90" t="s">
        <v>222</v>
      </c>
      <c r="E90" t="s">
        <v>299</v>
      </c>
      <c r="F90" t="s">
        <v>223</v>
      </c>
      <c r="G90" t="s">
        <v>23</v>
      </c>
      <c r="H90" t="s">
        <v>58</v>
      </c>
      <c r="I90" t="s">
        <v>224</v>
      </c>
      <c r="J90">
        <v>140</v>
      </c>
      <c r="K90" t="s">
        <v>197</v>
      </c>
      <c r="L90" t="s">
        <v>287</v>
      </c>
      <c r="N90" s="3">
        <v>5135</v>
      </c>
      <c r="O90" t="s">
        <v>27</v>
      </c>
      <c r="P90">
        <f>IF(OR(ISBLANK(Table1[[#This Row],[ميعاد التسليم]]),ISBLANK(Table1[[#This Row],[ميعاد الطلب]])),0,Table1[[#This Row],[ميعاد التسليم]]-Table1[[#This Row],[ميعاد الطلب]])</f>
        <v>28</v>
      </c>
      <c r="Q90">
        <f>IF(OR(ISBLANK(Table1[[#This Row],[تاريخ التسليم]]),ISBLANK(Table1[[#This Row],[ميعاد الطلب]])),0,Table1[[#This Row],[تاريخ التسليم]]-Table1[[#This Row],[ميعاد الطلب]])</f>
        <v>25</v>
      </c>
      <c r="R90">
        <f>Table1[[#This Row],[مدة التسليم (الهدف)]]-Table1[[#This Row],[مدة التسليم الفعلية]]</f>
        <v>3</v>
      </c>
      <c r="S90" t="str">
        <f>IF(Table1[[#This Row],[Column1]]&lt;=0,"متأخرة","مسلمة في الموعد")</f>
        <v>مسلمة في الموعد</v>
      </c>
      <c r="T90" s="1">
        <v>45585</v>
      </c>
      <c r="U90" s="1">
        <v>45613</v>
      </c>
      <c r="V90" s="1">
        <v>45610</v>
      </c>
      <c r="W90" t="s">
        <v>72</v>
      </c>
      <c r="X90" t="s">
        <v>29</v>
      </c>
    </row>
    <row r="91" spans="1:24" x14ac:dyDescent="0.25">
      <c r="A91">
        <v>91</v>
      </c>
      <c r="B91" t="s">
        <v>48</v>
      </c>
      <c r="C91" t="s">
        <v>49</v>
      </c>
      <c r="D91" t="s">
        <v>194</v>
      </c>
      <c r="E91" t="s">
        <v>297</v>
      </c>
      <c r="F91" t="s">
        <v>49</v>
      </c>
      <c r="G91" t="s">
        <v>23</v>
      </c>
      <c r="H91" t="s">
        <v>36</v>
      </c>
      <c r="I91" t="s">
        <v>225</v>
      </c>
      <c r="J91">
        <v>100</v>
      </c>
      <c r="K91" t="s">
        <v>203</v>
      </c>
      <c r="N91" s="3">
        <v>12777.5</v>
      </c>
      <c r="O91">
        <v>11277.5</v>
      </c>
      <c r="P91">
        <f>IF(OR(ISBLANK(Table1[[#This Row],[ميعاد التسليم]]),ISBLANK(Table1[[#This Row],[ميعاد الطلب]])),0,Table1[[#This Row],[ميعاد التسليم]]-Table1[[#This Row],[ميعاد الطلب]])</f>
        <v>21</v>
      </c>
      <c r="Q91">
        <f>IF(OR(ISBLANK(Table1[[#This Row],[تاريخ التسليم]]),ISBLANK(Table1[[#This Row],[ميعاد الطلب]])),0,Table1[[#This Row],[تاريخ التسليم]]-Table1[[#This Row],[ميعاد الطلب]])</f>
        <v>27</v>
      </c>
      <c r="R91">
        <f>Table1[[#This Row],[مدة التسليم (الهدف)]]-Table1[[#This Row],[مدة التسليم الفعلية]]</f>
        <v>-6</v>
      </c>
      <c r="S91" t="str">
        <f>IF(Table1[[#This Row],[Column1]]&lt;=0,"متأخرة","مسلمة في الموعد")</f>
        <v>متأخرة</v>
      </c>
      <c r="T91" s="1">
        <v>45587</v>
      </c>
      <c r="U91" s="1">
        <v>45608</v>
      </c>
      <c r="V91" s="1">
        <v>45614</v>
      </c>
      <c r="W91" t="s">
        <v>72</v>
      </c>
      <c r="X91" t="s">
        <v>29</v>
      </c>
    </row>
    <row r="92" spans="1:24" x14ac:dyDescent="0.25">
      <c r="A92">
        <v>92</v>
      </c>
      <c r="B92" t="s">
        <v>48</v>
      </c>
      <c r="C92" t="s">
        <v>49</v>
      </c>
      <c r="D92" t="s">
        <v>194</v>
      </c>
      <c r="E92" t="s">
        <v>297</v>
      </c>
      <c r="F92" t="s">
        <v>49</v>
      </c>
      <c r="G92" t="s">
        <v>23</v>
      </c>
      <c r="H92" t="s">
        <v>36</v>
      </c>
      <c r="I92" t="s">
        <v>225</v>
      </c>
      <c r="J92">
        <v>100</v>
      </c>
      <c r="K92" t="s">
        <v>203</v>
      </c>
      <c r="N92" s="3">
        <v>12777.5</v>
      </c>
      <c r="O92">
        <v>11277.5</v>
      </c>
      <c r="P92">
        <f>IF(OR(ISBLANK(Table1[[#This Row],[ميعاد التسليم]]),ISBLANK(Table1[[#This Row],[ميعاد الطلب]])),0,Table1[[#This Row],[ميعاد التسليم]]-Table1[[#This Row],[ميعاد الطلب]])</f>
        <v>21</v>
      </c>
      <c r="Q92">
        <f>IF(OR(ISBLANK(Table1[[#This Row],[تاريخ التسليم]]),ISBLANK(Table1[[#This Row],[ميعاد الطلب]])),0,Table1[[#This Row],[تاريخ التسليم]]-Table1[[#This Row],[ميعاد الطلب]])</f>
        <v>27</v>
      </c>
      <c r="R92">
        <f>Table1[[#This Row],[مدة التسليم (الهدف)]]-Table1[[#This Row],[مدة التسليم الفعلية]]</f>
        <v>-6</v>
      </c>
      <c r="S92" t="str">
        <f>IF(Table1[[#This Row],[Column1]]&lt;=0,"متأخرة","مسلمة في الموعد")</f>
        <v>متأخرة</v>
      </c>
      <c r="T92" s="1">
        <v>45587</v>
      </c>
      <c r="U92" s="1">
        <v>45608</v>
      </c>
      <c r="V92" s="1">
        <v>45614</v>
      </c>
      <c r="W92" t="s">
        <v>72</v>
      </c>
      <c r="X92" t="s">
        <v>29</v>
      </c>
    </row>
    <row r="93" spans="1:24" x14ac:dyDescent="0.25">
      <c r="A93">
        <v>93</v>
      </c>
      <c r="B93" t="s">
        <v>48</v>
      </c>
      <c r="C93" t="s">
        <v>105</v>
      </c>
      <c r="D93" t="s">
        <v>226</v>
      </c>
      <c r="F93" t="s">
        <v>85</v>
      </c>
      <c r="G93" t="s">
        <v>23</v>
      </c>
      <c r="H93" t="s">
        <v>36</v>
      </c>
      <c r="I93" t="s">
        <v>225</v>
      </c>
      <c r="J93">
        <v>100</v>
      </c>
      <c r="K93" t="s">
        <v>203</v>
      </c>
      <c r="N93" s="3">
        <v>8544.91</v>
      </c>
      <c r="O93" t="s">
        <v>108</v>
      </c>
      <c r="P93">
        <f>IF(OR(ISBLANK(Table1[[#This Row],[ميعاد التسليم]]),ISBLANK(Table1[[#This Row],[ميعاد الطلب]])),0,Table1[[#This Row],[ميعاد التسليم]]-Table1[[#This Row],[ميعاد الطلب]])</f>
        <v>0</v>
      </c>
      <c r="Q93">
        <f>IF(OR(ISBLANK(Table1[[#This Row],[تاريخ التسليم]]),ISBLANK(Table1[[#This Row],[ميعاد الطلب]])),0,Table1[[#This Row],[تاريخ التسليم]]-Table1[[#This Row],[ميعاد الطلب]])</f>
        <v>0</v>
      </c>
      <c r="R93">
        <f>Table1[[#This Row],[مدة التسليم (الهدف)]]-Table1[[#This Row],[مدة التسليم الفعلية]]</f>
        <v>0</v>
      </c>
      <c r="S93" t="str">
        <f>IF(Table1[[#This Row],[Column1]]&lt;=0,"متأخرة","مسلمة في الموعد")</f>
        <v>متأخرة</v>
      </c>
      <c r="T93" s="1">
        <v>45587</v>
      </c>
      <c r="X93" t="s">
        <v>69</v>
      </c>
    </row>
    <row r="94" spans="1:24" x14ac:dyDescent="0.25">
      <c r="A94">
        <v>94</v>
      </c>
      <c r="B94" t="s">
        <v>19</v>
      </c>
      <c r="C94" t="s">
        <v>227</v>
      </c>
      <c r="D94" t="s">
        <v>228</v>
      </c>
      <c r="E94" t="s">
        <v>297</v>
      </c>
      <c r="F94" t="s">
        <v>22</v>
      </c>
      <c r="G94" t="s">
        <v>23</v>
      </c>
      <c r="H94" t="s">
        <v>58</v>
      </c>
      <c r="I94" t="s">
        <v>92</v>
      </c>
      <c r="J94">
        <v>120</v>
      </c>
      <c r="K94" t="s">
        <v>25</v>
      </c>
      <c r="N94" s="3">
        <v>8943</v>
      </c>
      <c r="O94">
        <v>9007.01</v>
      </c>
      <c r="P94">
        <f>IF(OR(ISBLANK(Table1[[#This Row],[ميعاد التسليم]]),ISBLANK(Table1[[#This Row],[ميعاد الطلب]])),0,Table1[[#This Row],[ميعاد التسليم]]-Table1[[#This Row],[ميعاد الطلب]])</f>
        <v>24</v>
      </c>
      <c r="Q94">
        <f>IF(OR(ISBLANK(Table1[[#This Row],[تاريخ التسليم]]),ISBLANK(Table1[[#This Row],[ميعاد الطلب]])),0,Table1[[#This Row],[تاريخ التسليم]]-Table1[[#This Row],[ميعاد الطلب]])</f>
        <v>28</v>
      </c>
      <c r="R94">
        <f>Table1[[#This Row],[مدة التسليم (الهدف)]]-Table1[[#This Row],[مدة التسليم الفعلية]]</f>
        <v>-4</v>
      </c>
      <c r="S94" t="str">
        <f>IF(Table1[[#This Row],[Column1]]&lt;=0,"متأخرة","مسلمة في الموعد")</f>
        <v>متأخرة</v>
      </c>
      <c r="T94" s="1">
        <v>45586</v>
      </c>
      <c r="U94" s="1">
        <v>45610</v>
      </c>
      <c r="V94" s="1">
        <v>45614</v>
      </c>
      <c r="W94" t="s">
        <v>72</v>
      </c>
      <c r="X94" t="s">
        <v>29</v>
      </c>
    </row>
    <row r="95" spans="1:24" x14ac:dyDescent="0.25">
      <c r="A95">
        <v>95</v>
      </c>
      <c r="B95" t="s">
        <v>48</v>
      </c>
      <c r="C95" t="s">
        <v>49</v>
      </c>
      <c r="F95" t="s">
        <v>49</v>
      </c>
      <c r="G95" t="s">
        <v>50</v>
      </c>
      <c r="H95" t="s">
        <v>196</v>
      </c>
      <c r="K95" t="s">
        <v>32</v>
      </c>
      <c r="N95" s="3">
        <v>15516</v>
      </c>
      <c r="O95" t="s">
        <v>27</v>
      </c>
      <c r="P95">
        <f>IF(OR(ISBLANK(Table1[[#This Row],[ميعاد التسليم]]),ISBLANK(Table1[[#This Row],[ميعاد الطلب]])),0,Table1[[#This Row],[ميعاد التسليم]]-Table1[[#This Row],[ميعاد الطلب]])</f>
        <v>21</v>
      </c>
      <c r="Q95">
        <f>IF(OR(ISBLANK(Table1[[#This Row],[تاريخ التسليم]]),ISBLANK(Table1[[#This Row],[ميعاد الطلب]])),0,Table1[[#This Row],[تاريخ التسليم]]-Table1[[#This Row],[ميعاد الطلب]])</f>
        <v>6</v>
      </c>
      <c r="R95">
        <f>Table1[[#This Row],[مدة التسليم (الهدف)]]-Table1[[#This Row],[مدة التسليم الفعلية]]</f>
        <v>15</v>
      </c>
      <c r="S95" t="str">
        <f>IF(Table1[[#This Row],[Column1]]&lt;=0,"متأخرة","مسلمة في الموعد")</f>
        <v>مسلمة في الموعد</v>
      </c>
      <c r="T95" s="1">
        <v>45589</v>
      </c>
      <c r="U95" s="1">
        <v>45610</v>
      </c>
      <c r="V95" s="1">
        <v>45595</v>
      </c>
      <c r="W95" t="s">
        <v>72</v>
      </c>
      <c r="X95" t="s">
        <v>29</v>
      </c>
    </row>
    <row r="96" spans="1:24" x14ac:dyDescent="0.25">
      <c r="A96">
        <v>96</v>
      </c>
      <c r="B96" t="s">
        <v>48</v>
      </c>
      <c r="C96" t="s">
        <v>49</v>
      </c>
      <c r="F96" t="s">
        <v>49</v>
      </c>
      <c r="G96" t="s">
        <v>23</v>
      </c>
      <c r="H96" t="s">
        <v>36</v>
      </c>
      <c r="I96" t="s">
        <v>89</v>
      </c>
      <c r="J96">
        <v>100</v>
      </c>
      <c r="K96" t="s">
        <v>32</v>
      </c>
      <c r="N96" s="3">
        <v>10045</v>
      </c>
      <c r="O96">
        <v>8879</v>
      </c>
      <c r="P96">
        <f>IF(OR(ISBLANK(Table1[[#This Row],[ميعاد التسليم]]),ISBLANK(Table1[[#This Row],[ميعاد الطلب]])),0,Table1[[#This Row],[ميعاد التسليم]]-Table1[[#This Row],[ميعاد الطلب]])</f>
        <v>21</v>
      </c>
      <c r="Q96">
        <f>IF(OR(ISBLANK(Table1[[#This Row],[تاريخ التسليم]]),ISBLANK(Table1[[#This Row],[ميعاد الطلب]])),0,Table1[[#This Row],[تاريخ التسليم]]-Table1[[#This Row],[ميعاد الطلب]])</f>
        <v>0</v>
      </c>
      <c r="R96">
        <f>Table1[[#This Row],[مدة التسليم (الهدف)]]-Table1[[#This Row],[مدة التسليم الفعلية]]</f>
        <v>21</v>
      </c>
      <c r="S96" t="str">
        <f>IF(Table1[[#This Row],[Column1]]&lt;=0,"متأخرة","مسلمة في الموعد")</f>
        <v>مسلمة في الموعد</v>
      </c>
      <c r="T96" s="1">
        <v>45591</v>
      </c>
      <c r="U96" s="1">
        <v>45612</v>
      </c>
      <c r="X96" t="s">
        <v>69</v>
      </c>
    </row>
    <row r="97" spans="1:24" x14ac:dyDescent="0.25">
      <c r="A97">
        <v>97</v>
      </c>
      <c r="B97" t="s">
        <v>19</v>
      </c>
      <c r="C97" t="s">
        <v>172</v>
      </c>
      <c r="D97" t="s">
        <v>229</v>
      </c>
      <c r="E97" t="s">
        <v>297</v>
      </c>
      <c r="F97" t="s">
        <v>22</v>
      </c>
      <c r="G97" t="s">
        <v>23</v>
      </c>
      <c r="H97" t="s">
        <v>36</v>
      </c>
      <c r="I97" t="s">
        <v>89</v>
      </c>
      <c r="J97">
        <v>90</v>
      </c>
      <c r="K97" t="s">
        <v>32</v>
      </c>
      <c r="N97" s="3">
        <v>11649</v>
      </c>
      <c r="O97">
        <v>11749</v>
      </c>
      <c r="P97">
        <f>IF(OR(ISBLANK(Table1[[#This Row],[ميعاد التسليم]]),ISBLANK(Table1[[#This Row],[ميعاد الطلب]])),0,Table1[[#This Row],[ميعاد التسليم]]-Table1[[#This Row],[ميعاد الطلب]])</f>
        <v>15</v>
      </c>
      <c r="Q97">
        <f>IF(OR(ISBLANK(Table1[[#This Row],[تاريخ التسليم]]),ISBLANK(Table1[[#This Row],[ميعاد الطلب]])),0,Table1[[#This Row],[تاريخ التسليم]]-Table1[[#This Row],[ميعاد الطلب]])</f>
        <v>23</v>
      </c>
      <c r="R97">
        <f>Table1[[#This Row],[مدة التسليم (الهدف)]]-Table1[[#This Row],[مدة التسليم الفعلية]]</f>
        <v>-8</v>
      </c>
      <c r="S97" t="str">
        <f>IF(Table1[[#This Row],[Column1]]&lt;=0,"متأخرة","مسلمة في الموعد")</f>
        <v>متأخرة</v>
      </c>
      <c r="T97" s="1">
        <v>45591</v>
      </c>
      <c r="U97" s="1">
        <v>45606</v>
      </c>
      <c r="V97" s="1">
        <v>45614</v>
      </c>
      <c r="W97" t="s">
        <v>72</v>
      </c>
      <c r="X97" t="s">
        <v>29</v>
      </c>
    </row>
    <row r="98" spans="1:24" x14ac:dyDescent="0.25">
      <c r="A98">
        <v>98</v>
      </c>
      <c r="B98" t="s">
        <v>19</v>
      </c>
      <c r="C98" t="s">
        <v>172</v>
      </c>
      <c r="D98" t="s">
        <v>229</v>
      </c>
      <c r="E98" t="s">
        <v>297</v>
      </c>
      <c r="F98" t="s">
        <v>22</v>
      </c>
      <c r="G98" t="s">
        <v>23</v>
      </c>
      <c r="H98" t="s">
        <v>36</v>
      </c>
      <c r="I98" t="s">
        <v>89</v>
      </c>
      <c r="J98">
        <v>90</v>
      </c>
      <c r="K98" t="s">
        <v>32</v>
      </c>
      <c r="N98" s="3">
        <v>11649</v>
      </c>
      <c r="O98">
        <v>11749</v>
      </c>
      <c r="P98">
        <f>IF(OR(ISBLANK(Table1[[#This Row],[ميعاد التسليم]]),ISBLANK(Table1[[#This Row],[ميعاد الطلب]])),0,Table1[[#This Row],[ميعاد التسليم]]-Table1[[#This Row],[ميعاد الطلب]])</f>
        <v>15</v>
      </c>
      <c r="Q98">
        <f>IF(OR(ISBLANK(Table1[[#This Row],[تاريخ التسليم]]),ISBLANK(Table1[[#This Row],[ميعاد الطلب]])),0,Table1[[#This Row],[تاريخ التسليم]]-Table1[[#This Row],[ميعاد الطلب]])</f>
        <v>23</v>
      </c>
      <c r="R98">
        <f>Table1[[#This Row],[مدة التسليم (الهدف)]]-Table1[[#This Row],[مدة التسليم الفعلية]]</f>
        <v>-8</v>
      </c>
      <c r="S98" t="str">
        <f>IF(Table1[[#This Row],[Column1]]&lt;=0,"متأخرة","مسلمة في الموعد")</f>
        <v>متأخرة</v>
      </c>
      <c r="T98" s="1">
        <v>45591</v>
      </c>
      <c r="U98" s="1">
        <v>45606</v>
      </c>
      <c r="V98" s="1">
        <v>45614</v>
      </c>
      <c r="W98" t="s">
        <v>72</v>
      </c>
      <c r="X98" t="s">
        <v>29</v>
      </c>
    </row>
    <row r="99" spans="1:24" x14ac:dyDescent="0.25">
      <c r="A99">
        <v>99</v>
      </c>
      <c r="B99" t="s">
        <v>48</v>
      </c>
      <c r="C99" t="s">
        <v>230</v>
      </c>
      <c r="D99" t="s">
        <v>98</v>
      </c>
      <c r="E99" t="s">
        <v>299</v>
      </c>
      <c r="F99" t="s">
        <v>22</v>
      </c>
      <c r="G99" t="s">
        <v>23</v>
      </c>
      <c r="H99" t="s">
        <v>58</v>
      </c>
      <c r="I99" t="s">
        <v>100</v>
      </c>
      <c r="J99">
        <v>100</v>
      </c>
      <c r="K99" t="s">
        <v>25</v>
      </c>
      <c r="N99" s="3">
        <v>5100</v>
      </c>
      <c r="O99">
        <v>4800</v>
      </c>
      <c r="P99">
        <f>IF(OR(ISBLANK(Table1[[#This Row],[ميعاد التسليم]]),ISBLANK(Table1[[#This Row],[ميعاد الطلب]])),0,Table1[[#This Row],[ميعاد التسليم]]-Table1[[#This Row],[ميعاد الطلب]])</f>
        <v>14</v>
      </c>
      <c r="Q99">
        <f>IF(OR(ISBLANK(Table1[[#This Row],[تاريخ التسليم]]),ISBLANK(Table1[[#This Row],[ميعاد الطلب]])),0,Table1[[#This Row],[تاريخ التسليم]]-Table1[[#This Row],[ميعاد الطلب]])</f>
        <v>24</v>
      </c>
      <c r="R99">
        <f>Table1[[#This Row],[مدة التسليم (الهدف)]]-Table1[[#This Row],[مدة التسليم الفعلية]]</f>
        <v>-10</v>
      </c>
      <c r="S99" t="str">
        <f>IF(Table1[[#This Row],[Column1]]&lt;=0,"متأخرة","مسلمة في الموعد")</f>
        <v>متأخرة</v>
      </c>
      <c r="T99" s="1">
        <v>45593</v>
      </c>
      <c r="U99" s="1">
        <v>45607</v>
      </c>
      <c r="V99" s="1">
        <v>45617</v>
      </c>
      <c r="W99" t="s">
        <v>72</v>
      </c>
      <c r="X99" t="s">
        <v>29</v>
      </c>
    </row>
    <row r="100" spans="1:24" x14ac:dyDescent="0.25">
      <c r="A100">
        <v>100</v>
      </c>
      <c r="B100" t="s">
        <v>48</v>
      </c>
      <c r="C100" t="s">
        <v>230</v>
      </c>
      <c r="D100" t="s">
        <v>98</v>
      </c>
      <c r="E100" t="s">
        <v>299</v>
      </c>
      <c r="F100" t="s">
        <v>22</v>
      </c>
      <c r="G100" t="s">
        <v>23</v>
      </c>
      <c r="H100" t="s">
        <v>58</v>
      </c>
      <c r="I100" t="s">
        <v>100</v>
      </c>
      <c r="J100">
        <v>120</v>
      </c>
      <c r="K100" t="s">
        <v>25</v>
      </c>
      <c r="N100" s="3">
        <v>5300</v>
      </c>
      <c r="O100">
        <v>4800</v>
      </c>
      <c r="P100">
        <f>IF(OR(ISBLANK(Table1[[#This Row],[ميعاد التسليم]]),ISBLANK(Table1[[#This Row],[ميعاد الطلب]])),0,Table1[[#This Row],[ميعاد التسليم]]-Table1[[#This Row],[ميعاد الطلب]])</f>
        <v>14</v>
      </c>
      <c r="Q100">
        <f>IF(OR(ISBLANK(Table1[[#This Row],[تاريخ التسليم]]),ISBLANK(Table1[[#This Row],[ميعاد الطلب]])),0,Table1[[#This Row],[تاريخ التسليم]]-Table1[[#This Row],[ميعاد الطلب]])</f>
        <v>24</v>
      </c>
      <c r="R100">
        <f>Table1[[#This Row],[مدة التسليم (الهدف)]]-Table1[[#This Row],[مدة التسليم الفعلية]]</f>
        <v>-10</v>
      </c>
      <c r="S100" t="str">
        <f>IF(Table1[[#This Row],[Column1]]&lt;=0,"متأخرة","مسلمة في الموعد")</f>
        <v>متأخرة</v>
      </c>
      <c r="T100" s="1">
        <v>45593</v>
      </c>
      <c r="U100" s="1">
        <v>45607</v>
      </c>
      <c r="V100" s="1">
        <v>45617</v>
      </c>
      <c r="W100" t="s">
        <v>72</v>
      </c>
      <c r="X100" t="s">
        <v>29</v>
      </c>
    </row>
    <row r="101" spans="1:24" x14ac:dyDescent="0.25">
      <c r="A101">
        <v>101</v>
      </c>
      <c r="B101" t="s">
        <v>19</v>
      </c>
      <c r="C101" t="s">
        <v>231</v>
      </c>
      <c r="D101" t="s">
        <v>232</v>
      </c>
      <c r="E101" t="s">
        <v>299</v>
      </c>
      <c r="F101" t="s">
        <v>22</v>
      </c>
      <c r="G101" t="s">
        <v>23</v>
      </c>
      <c r="H101" t="s">
        <v>36</v>
      </c>
      <c r="I101" t="s">
        <v>37</v>
      </c>
      <c r="J101">
        <v>80</v>
      </c>
      <c r="K101" t="s">
        <v>25</v>
      </c>
      <c r="N101" s="3">
        <v>12099</v>
      </c>
      <c r="O101" t="s">
        <v>27</v>
      </c>
      <c r="P101">
        <f>IF(OR(ISBLANK(Table1[[#This Row],[ميعاد التسليم]]),ISBLANK(Table1[[#This Row],[ميعاد الطلب]])),0,Table1[[#This Row],[ميعاد التسليم]]-Table1[[#This Row],[ميعاد الطلب]])</f>
        <v>15</v>
      </c>
      <c r="Q101">
        <f>IF(OR(ISBLANK(Table1[[#This Row],[تاريخ التسليم]]),ISBLANK(Table1[[#This Row],[ميعاد الطلب]])),0,Table1[[#This Row],[تاريخ التسليم]]-Table1[[#This Row],[ميعاد الطلب]])</f>
        <v>16</v>
      </c>
      <c r="R101">
        <f>Table1[[#This Row],[مدة التسليم (الهدف)]]-Table1[[#This Row],[مدة التسليم الفعلية]]</f>
        <v>-1</v>
      </c>
      <c r="S101" t="str">
        <f>IF(Table1[[#This Row],[Column1]]&lt;=0,"متأخرة","مسلمة في الموعد")</f>
        <v>متأخرة</v>
      </c>
      <c r="T101" s="1">
        <v>45607</v>
      </c>
      <c r="U101" s="1">
        <v>45622</v>
      </c>
      <c r="V101" s="1">
        <v>45623</v>
      </c>
      <c r="W101" t="s">
        <v>72</v>
      </c>
      <c r="X101" t="s">
        <v>29</v>
      </c>
    </row>
    <row r="102" spans="1:24" x14ac:dyDescent="0.25">
      <c r="A102">
        <v>102</v>
      </c>
      <c r="B102" t="s">
        <v>48</v>
      </c>
      <c r="C102" t="s">
        <v>103</v>
      </c>
      <c r="D102" t="s">
        <v>210</v>
      </c>
      <c r="F102" t="s">
        <v>49</v>
      </c>
      <c r="G102" t="s">
        <v>50</v>
      </c>
      <c r="H102" t="s">
        <v>196</v>
      </c>
      <c r="I102" t="s">
        <v>233</v>
      </c>
      <c r="K102" t="s">
        <v>198</v>
      </c>
      <c r="L102" t="s">
        <v>211</v>
      </c>
      <c r="N102" s="3">
        <v>15872</v>
      </c>
      <c r="O102" t="s">
        <v>234</v>
      </c>
      <c r="P102">
        <f>IF(OR(ISBLANK(Table1[[#This Row],[ميعاد التسليم]]),ISBLANK(Table1[[#This Row],[ميعاد الطلب]])),0,Table1[[#This Row],[ميعاد التسليم]]-Table1[[#This Row],[ميعاد الطلب]])</f>
        <v>11</v>
      </c>
      <c r="Q102">
        <f>IF(OR(ISBLANK(Table1[[#This Row],[تاريخ التسليم]]),ISBLANK(Table1[[#This Row],[ميعاد الطلب]])),0,Table1[[#This Row],[تاريخ التسليم]]-Table1[[#This Row],[ميعاد الطلب]])</f>
        <v>6</v>
      </c>
      <c r="R102">
        <f>Table1[[#This Row],[مدة التسليم (الهدف)]]-Table1[[#This Row],[مدة التسليم الفعلية]]</f>
        <v>5</v>
      </c>
      <c r="S102" t="str">
        <f>IF(Table1[[#This Row],[Column1]]&lt;=0,"متأخرة","مسلمة في الموعد")</f>
        <v>مسلمة في الموعد</v>
      </c>
      <c r="T102" s="1">
        <v>45604</v>
      </c>
      <c r="U102" s="1">
        <v>45615</v>
      </c>
      <c r="V102" s="1">
        <v>45610</v>
      </c>
      <c r="W102" t="s">
        <v>72</v>
      </c>
      <c r="X102" t="s">
        <v>29</v>
      </c>
    </row>
    <row r="103" spans="1:24" x14ac:dyDescent="0.25">
      <c r="A103">
        <v>103</v>
      </c>
      <c r="B103" t="s">
        <v>48</v>
      </c>
      <c r="C103" t="s">
        <v>235</v>
      </c>
      <c r="D103" t="s">
        <v>54</v>
      </c>
      <c r="E103" t="s">
        <v>299</v>
      </c>
      <c r="F103" t="s">
        <v>223</v>
      </c>
      <c r="G103" t="s">
        <v>23</v>
      </c>
      <c r="H103" t="s">
        <v>58</v>
      </c>
      <c r="I103" t="s">
        <v>92</v>
      </c>
      <c r="J103">
        <v>120</v>
      </c>
      <c r="K103" t="s">
        <v>25</v>
      </c>
      <c r="N103" s="3">
        <v>4520</v>
      </c>
      <c r="O103" t="s">
        <v>108</v>
      </c>
      <c r="P103">
        <f>IF(OR(ISBLANK(Table1[[#This Row],[ميعاد التسليم]]),ISBLANK(Table1[[#This Row],[ميعاد الطلب]])),0,Table1[[#This Row],[ميعاد التسليم]]-Table1[[#This Row],[ميعاد الطلب]])</f>
        <v>12</v>
      </c>
      <c r="Q103">
        <f>IF(OR(ISBLANK(Table1[[#This Row],[تاريخ التسليم]]),ISBLANK(Table1[[#This Row],[ميعاد الطلب]])),0,Table1[[#This Row],[تاريخ التسليم]]-Table1[[#This Row],[ميعاد الطلب]])</f>
        <v>11</v>
      </c>
      <c r="R103">
        <f>Table1[[#This Row],[مدة التسليم (الهدف)]]-Table1[[#This Row],[مدة التسليم الفعلية]]</f>
        <v>1</v>
      </c>
      <c r="S103" t="str">
        <f>IF(Table1[[#This Row],[Column1]]&lt;=0,"متأخرة","مسلمة في الموعد")</f>
        <v>مسلمة في الموعد</v>
      </c>
      <c r="T103" s="1">
        <v>45606</v>
      </c>
      <c r="U103" s="1">
        <v>45618</v>
      </c>
      <c r="V103" s="1">
        <v>45617</v>
      </c>
      <c r="W103" t="s">
        <v>72</v>
      </c>
      <c r="X103" t="s">
        <v>29</v>
      </c>
    </row>
    <row r="104" spans="1:24" x14ac:dyDescent="0.25">
      <c r="A104">
        <v>104</v>
      </c>
      <c r="B104" t="s">
        <v>48</v>
      </c>
      <c r="C104" t="s">
        <v>105</v>
      </c>
      <c r="D104" t="s">
        <v>191</v>
      </c>
      <c r="E104" t="s">
        <v>300</v>
      </c>
      <c r="F104" t="s">
        <v>85</v>
      </c>
      <c r="G104" t="s">
        <v>23</v>
      </c>
      <c r="H104" t="s">
        <v>36</v>
      </c>
      <c r="I104" t="s">
        <v>89</v>
      </c>
      <c r="J104">
        <v>90</v>
      </c>
      <c r="K104" t="s">
        <v>32</v>
      </c>
      <c r="N104" s="3">
        <v>5766</v>
      </c>
      <c r="O104" t="s">
        <v>108</v>
      </c>
      <c r="P104">
        <f>IF(OR(ISBLANK(Table1[[#This Row],[ميعاد التسليم]]),ISBLANK(Table1[[#This Row],[ميعاد الطلب]])),0,Table1[[#This Row],[ميعاد التسليم]]-Table1[[#This Row],[ميعاد الطلب]])</f>
        <v>14</v>
      </c>
      <c r="Q104">
        <f>IF(OR(ISBLANK(Table1[[#This Row],[تاريخ التسليم]]),ISBLANK(Table1[[#This Row],[ميعاد الطلب]])),0,Table1[[#This Row],[تاريخ التسليم]]-Table1[[#This Row],[ميعاد الطلب]])</f>
        <v>13</v>
      </c>
      <c r="R104">
        <f>Table1[[#This Row],[مدة التسليم (الهدف)]]-Table1[[#This Row],[مدة التسليم الفعلية]]</f>
        <v>1</v>
      </c>
      <c r="S104" t="str">
        <f>IF(Table1[[#This Row],[Column1]]&lt;=0,"متأخرة","مسلمة في الموعد")</f>
        <v>مسلمة في الموعد</v>
      </c>
      <c r="T104" s="1">
        <v>45608</v>
      </c>
      <c r="U104" s="1">
        <v>45622</v>
      </c>
      <c r="V104" s="1">
        <v>45621</v>
      </c>
      <c r="W104" t="s">
        <v>72</v>
      </c>
      <c r="X104" t="s">
        <v>29</v>
      </c>
    </row>
    <row r="105" spans="1:24" x14ac:dyDescent="0.25">
      <c r="A105">
        <v>105</v>
      </c>
      <c r="B105" t="s">
        <v>19</v>
      </c>
      <c r="C105" t="s">
        <v>236</v>
      </c>
      <c r="D105" t="s">
        <v>98</v>
      </c>
      <c r="E105" t="s">
        <v>299</v>
      </c>
      <c r="F105" t="s">
        <v>22</v>
      </c>
      <c r="G105" t="s">
        <v>23</v>
      </c>
      <c r="H105" t="s">
        <v>58</v>
      </c>
      <c r="I105" t="s">
        <v>92</v>
      </c>
      <c r="J105">
        <v>160</v>
      </c>
      <c r="K105" t="s">
        <v>149</v>
      </c>
      <c r="N105" s="3">
        <v>11395</v>
      </c>
      <c r="O105" t="s">
        <v>27</v>
      </c>
      <c r="P105">
        <f>IF(OR(ISBLANK(Table1[[#This Row],[ميعاد التسليم]]),ISBLANK(Table1[[#This Row],[ميعاد الطلب]])),0,Table1[[#This Row],[ميعاد التسليم]]-Table1[[#This Row],[ميعاد الطلب]])</f>
        <v>12</v>
      </c>
      <c r="Q105">
        <f>IF(OR(ISBLANK(Table1[[#This Row],[تاريخ التسليم]]),ISBLANK(Table1[[#This Row],[ميعاد الطلب]])),0,Table1[[#This Row],[تاريخ التسليم]]-Table1[[#This Row],[ميعاد الطلب]])</f>
        <v>15</v>
      </c>
      <c r="R105">
        <f>Table1[[#This Row],[مدة التسليم (الهدف)]]-Table1[[#This Row],[مدة التسليم الفعلية]]</f>
        <v>-3</v>
      </c>
      <c r="S105" t="str">
        <f>IF(Table1[[#This Row],[Column1]]&lt;=0,"متأخرة","مسلمة في الموعد")</f>
        <v>متأخرة</v>
      </c>
      <c r="T105" s="1">
        <v>45608</v>
      </c>
      <c r="U105" s="1">
        <v>45620</v>
      </c>
      <c r="V105" s="1">
        <v>45623</v>
      </c>
      <c r="W105" t="s">
        <v>72</v>
      </c>
      <c r="X105" t="s">
        <v>29</v>
      </c>
    </row>
    <row r="106" spans="1:24" x14ac:dyDescent="0.25">
      <c r="A106">
        <v>106</v>
      </c>
      <c r="B106" t="s">
        <v>19</v>
      </c>
      <c r="C106" t="s">
        <v>237</v>
      </c>
      <c r="D106" t="s">
        <v>54</v>
      </c>
      <c r="E106" t="s">
        <v>299</v>
      </c>
      <c r="F106" t="s">
        <v>22</v>
      </c>
      <c r="G106" t="s">
        <v>23</v>
      </c>
      <c r="H106" t="s">
        <v>36</v>
      </c>
      <c r="I106" t="s">
        <v>238</v>
      </c>
      <c r="J106">
        <v>80</v>
      </c>
      <c r="K106" t="s">
        <v>25</v>
      </c>
      <c r="N106" s="3">
        <v>12919</v>
      </c>
      <c r="O106" t="s">
        <v>27</v>
      </c>
      <c r="P106">
        <f>IF(OR(ISBLANK(Table1[[#This Row],[ميعاد التسليم]]),ISBLANK(Table1[[#This Row],[ميعاد الطلب]])),0,Table1[[#This Row],[ميعاد التسليم]]-Table1[[#This Row],[ميعاد الطلب]])</f>
        <v>16</v>
      </c>
      <c r="Q106">
        <f>IF(OR(ISBLANK(Table1[[#This Row],[تاريخ التسليم]]),ISBLANK(Table1[[#This Row],[ميعاد الطلب]])),0,Table1[[#This Row],[تاريخ التسليم]]-Table1[[#This Row],[ميعاد الطلب]])</f>
        <v>13</v>
      </c>
      <c r="R106">
        <f>Table1[[#This Row],[مدة التسليم (الهدف)]]-Table1[[#This Row],[مدة التسليم الفعلية]]</f>
        <v>3</v>
      </c>
      <c r="S106" t="str">
        <f>IF(Table1[[#This Row],[Column1]]&lt;=0,"متأخرة","مسلمة في الموعد")</f>
        <v>مسلمة في الموعد</v>
      </c>
      <c r="T106" s="1">
        <v>45610</v>
      </c>
      <c r="U106" s="1">
        <v>45626</v>
      </c>
      <c r="V106" s="1">
        <v>45623</v>
      </c>
      <c r="W106" t="s">
        <v>72</v>
      </c>
      <c r="X106" t="s">
        <v>29</v>
      </c>
    </row>
    <row r="107" spans="1:24" x14ac:dyDescent="0.25">
      <c r="A107">
        <v>107</v>
      </c>
      <c r="B107" t="s">
        <v>48</v>
      </c>
      <c r="C107" t="s">
        <v>105</v>
      </c>
      <c r="D107" t="s">
        <v>191</v>
      </c>
      <c r="E107" t="s">
        <v>300</v>
      </c>
      <c r="F107" t="s">
        <v>85</v>
      </c>
      <c r="G107" t="s">
        <v>23</v>
      </c>
      <c r="H107" t="s">
        <v>36</v>
      </c>
      <c r="I107" t="s">
        <v>45</v>
      </c>
      <c r="J107">
        <v>120</v>
      </c>
      <c r="K107" t="s">
        <v>46</v>
      </c>
      <c r="N107" s="3">
        <v>6376</v>
      </c>
      <c r="O107" t="s">
        <v>108</v>
      </c>
      <c r="P107">
        <f>IF(OR(ISBLANK(Table1[[#This Row],[ميعاد التسليم]]),ISBLANK(Table1[[#This Row],[ميعاد الطلب]])),0,Table1[[#This Row],[ميعاد التسليم]]-Table1[[#This Row],[ميعاد الطلب]])</f>
        <v>13</v>
      </c>
      <c r="Q107">
        <f>IF(OR(ISBLANK(Table1[[#This Row],[تاريخ التسليم]]),ISBLANK(Table1[[#This Row],[ميعاد الطلب]])),0,Table1[[#This Row],[تاريخ التسليم]]-Table1[[#This Row],[ميعاد الطلب]])</f>
        <v>11</v>
      </c>
      <c r="R107">
        <f>Table1[[#This Row],[مدة التسليم (الهدف)]]-Table1[[#This Row],[مدة التسليم الفعلية]]</f>
        <v>2</v>
      </c>
      <c r="S107" t="str">
        <f>IF(Table1[[#This Row],[Column1]]&lt;=0,"متأخرة","مسلمة في الموعد")</f>
        <v>مسلمة في الموعد</v>
      </c>
      <c r="T107" s="1">
        <v>45610</v>
      </c>
      <c r="U107" s="1">
        <v>45623</v>
      </c>
      <c r="V107" s="1">
        <v>45621</v>
      </c>
      <c r="W107" t="s">
        <v>72</v>
      </c>
      <c r="X107" t="s">
        <v>29</v>
      </c>
    </row>
    <row r="108" spans="1:24" x14ac:dyDescent="0.25">
      <c r="A108">
        <v>108</v>
      </c>
      <c r="B108" t="s">
        <v>48</v>
      </c>
      <c r="C108" t="s">
        <v>105</v>
      </c>
      <c r="D108" t="s">
        <v>191</v>
      </c>
      <c r="E108" t="s">
        <v>300</v>
      </c>
      <c r="F108" t="s">
        <v>85</v>
      </c>
      <c r="G108" t="s">
        <v>23</v>
      </c>
      <c r="H108" t="s">
        <v>239</v>
      </c>
      <c r="I108" t="s">
        <v>45</v>
      </c>
      <c r="J108">
        <v>90</v>
      </c>
      <c r="K108" t="s">
        <v>32</v>
      </c>
      <c r="N108" s="3">
        <v>5294</v>
      </c>
      <c r="O108" t="s">
        <v>108</v>
      </c>
      <c r="P108">
        <f>IF(OR(ISBLANK(Table1[[#This Row],[ميعاد التسليم]]),ISBLANK(Table1[[#This Row],[ميعاد الطلب]])),0,Table1[[#This Row],[ميعاد التسليم]]-Table1[[#This Row],[ميعاد الطلب]])</f>
        <v>13</v>
      </c>
      <c r="Q108">
        <f>IF(OR(ISBLANK(Table1[[#This Row],[تاريخ التسليم]]),ISBLANK(Table1[[#This Row],[ميعاد الطلب]])),0,Table1[[#This Row],[تاريخ التسليم]]-Table1[[#This Row],[ميعاد الطلب]])</f>
        <v>11</v>
      </c>
      <c r="R108">
        <f>Table1[[#This Row],[مدة التسليم (الهدف)]]-Table1[[#This Row],[مدة التسليم الفعلية]]</f>
        <v>2</v>
      </c>
      <c r="S108" t="str">
        <f>IF(Table1[[#This Row],[Column1]]&lt;=0,"متأخرة","مسلمة في الموعد")</f>
        <v>مسلمة في الموعد</v>
      </c>
      <c r="T108" s="1">
        <v>45610</v>
      </c>
      <c r="U108" s="1">
        <v>45623</v>
      </c>
      <c r="V108" s="1">
        <v>45621</v>
      </c>
      <c r="W108" t="s">
        <v>72</v>
      </c>
      <c r="X108" t="s">
        <v>29</v>
      </c>
    </row>
    <row r="109" spans="1:24" x14ac:dyDescent="0.25">
      <c r="A109">
        <v>109</v>
      </c>
      <c r="B109" t="s">
        <v>19</v>
      </c>
      <c r="C109" t="s">
        <v>240</v>
      </c>
      <c r="D109" t="s">
        <v>57</v>
      </c>
      <c r="E109" t="s">
        <v>297</v>
      </c>
      <c r="F109" t="s">
        <v>241</v>
      </c>
      <c r="G109" t="s">
        <v>23</v>
      </c>
      <c r="H109" t="s">
        <v>239</v>
      </c>
      <c r="I109" t="s">
        <v>242</v>
      </c>
      <c r="J109">
        <v>80</v>
      </c>
      <c r="K109" t="s">
        <v>25</v>
      </c>
      <c r="N109" s="3">
        <v>7396</v>
      </c>
      <c r="O109" t="s">
        <v>27</v>
      </c>
      <c r="P109">
        <f>IF(OR(ISBLANK(Table1[[#This Row],[ميعاد التسليم]]),ISBLANK(Table1[[#This Row],[ميعاد الطلب]])),0,Table1[[#This Row],[ميعاد التسليم]]-Table1[[#This Row],[ميعاد الطلب]])</f>
        <v>11</v>
      </c>
      <c r="Q109">
        <f>IF(OR(ISBLANK(Table1[[#This Row],[تاريخ التسليم]]),ISBLANK(Table1[[#This Row],[ميعاد الطلب]])),0,Table1[[#This Row],[تاريخ التسليم]]-Table1[[#This Row],[ميعاد الطلب]])</f>
        <v>9</v>
      </c>
      <c r="R109">
        <f>Table1[[#This Row],[مدة التسليم (الهدف)]]-Table1[[#This Row],[مدة التسليم الفعلية]]</f>
        <v>2</v>
      </c>
      <c r="S109" t="str">
        <f>IF(Table1[[#This Row],[Column1]]&lt;=0,"متأخرة","مسلمة في الموعد")</f>
        <v>مسلمة في الموعد</v>
      </c>
      <c r="T109" s="1">
        <v>45613</v>
      </c>
      <c r="U109" s="1">
        <v>45624</v>
      </c>
      <c r="V109" s="1">
        <v>45622</v>
      </c>
      <c r="W109" t="s">
        <v>72</v>
      </c>
      <c r="X109" t="s">
        <v>29</v>
      </c>
    </row>
    <row r="110" spans="1:24" x14ac:dyDescent="0.25">
      <c r="A110">
        <v>110</v>
      </c>
      <c r="B110" t="s">
        <v>19</v>
      </c>
      <c r="C110" t="s">
        <v>172</v>
      </c>
      <c r="D110" t="s">
        <v>243</v>
      </c>
      <c r="E110" t="s">
        <v>297</v>
      </c>
      <c r="F110" t="s">
        <v>22</v>
      </c>
      <c r="G110" t="s">
        <v>23</v>
      </c>
      <c r="H110" t="s">
        <v>36</v>
      </c>
      <c r="I110" t="s">
        <v>89</v>
      </c>
      <c r="J110">
        <v>90</v>
      </c>
      <c r="K110" t="s">
        <v>32</v>
      </c>
      <c r="N110" s="3">
        <v>13439</v>
      </c>
      <c r="O110">
        <v>13575</v>
      </c>
      <c r="P110">
        <f>IF(OR(ISBLANK(Table1[[#This Row],[ميعاد التسليم]]),ISBLANK(Table1[[#This Row],[ميعاد الطلب]])),0,Table1[[#This Row],[ميعاد التسليم]]-Table1[[#This Row],[ميعاد الطلب]])</f>
        <v>15</v>
      </c>
      <c r="Q110">
        <f>IF(OR(ISBLANK(Table1[[#This Row],[تاريخ التسليم]]),ISBLANK(Table1[[#This Row],[ميعاد الطلب]])),0,Table1[[#This Row],[تاريخ التسليم]]-Table1[[#This Row],[ميعاد الطلب]])</f>
        <v>6</v>
      </c>
      <c r="R110">
        <f>Table1[[#This Row],[مدة التسليم (الهدف)]]-Table1[[#This Row],[مدة التسليم الفعلية]]</f>
        <v>9</v>
      </c>
      <c r="S110" t="str">
        <f>IF(Table1[[#This Row],[Column1]]&lt;=0,"متأخرة","مسلمة في الموعد")</f>
        <v>مسلمة في الموعد</v>
      </c>
      <c r="T110" s="1">
        <v>45616</v>
      </c>
      <c r="U110" s="1">
        <v>45631</v>
      </c>
      <c r="V110" s="1">
        <v>45622</v>
      </c>
      <c r="W110" t="s">
        <v>72</v>
      </c>
      <c r="X110" t="s">
        <v>29</v>
      </c>
    </row>
    <row r="111" spans="1:24" x14ac:dyDescent="0.25">
      <c r="A111">
        <v>111</v>
      </c>
      <c r="B111" t="s">
        <v>48</v>
      </c>
      <c r="C111" t="s">
        <v>60</v>
      </c>
      <c r="D111" t="s">
        <v>70</v>
      </c>
      <c r="E111" t="s">
        <v>299</v>
      </c>
      <c r="F111" t="s">
        <v>62</v>
      </c>
      <c r="G111" t="s">
        <v>23</v>
      </c>
      <c r="H111" t="s">
        <v>244</v>
      </c>
      <c r="I111" t="s">
        <v>245</v>
      </c>
      <c r="J111">
        <v>160</v>
      </c>
      <c r="K111" t="s">
        <v>32</v>
      </c>
      <c r="N111" s="3">
        <v>5100</v>
      </c>
      <c r="O111" t="s">
        <v>108</v>
      </c>
      <c r="P111">
        <f>IF(OR(ISBLANK(Table1[[#This Row],[ميعاد التسليم]]),ISBLANK(Table1[[#This Row],[ميعاد الطلب]])),0,Table1[[#This Row],[ميعاد التسليم]]-Table1[[#This Row],[ميعاد الطلب]])</f>
        <v>24</v>
      </c>
      <c r="Q111">
        <f>IF(OR(ISBLANK(Table1[[#This Row],[تاريخ التسليم]]),ISBLANK(Table1[[#This Row],[ميعاد الطلب]])),0,Table1[[#This Row],[تاريخ التسليم]]-Table1[[#This Row],[ميعاد الطلب]])</f>
        <v>0</v>
      </c>
      <c r="R111">
        <f>Table1[[#This Row],[مدة التسليم (الهدف)]]-Table1[[#This Row],[مدة التسليم الفعلية]]</f>
        <v>24</v>
      </c>
      <c r="S111" t="str">
        <f>IF(Table1[[#This Row],[Column1]]&lt;=0,"متأخرة","مسلمة في الموعد")</f>
        <v>مسلمة في الموعد</v>
      </c>
      <c r="T111" s="1">
        <v>45610</v>
      </c>
      <c r="U111" s="1">
        <v>45634</v>
      </c>
      <c r="X111" t="s">
        <v>29</v>
      </c>
    </row>
    <row r="112" spans="1:24" x14ac:dyDescent="0.25">
      <c r="A112">
        <v>112</v>
      </c>
      <c r="B112" t="s">
        <v>19</v>
      </c>
      <c r="C112" t="s">
        <v>246</v>
      </c>
      <c r="D112" t="s">
        <v>74</v>
      </c>
      <c r="E112" t="s">
        <v>299</v>
      </c>
      <c r="F112" t="s">
        <v>55</v>
      </c>
      <c r="G112" t="s">
        <v>23</v>
      </c>
      <c r="H112" t="s">
        <v>58</v>
      </c>
      <c r="I112" t="s">
        <v>247</v>
      </c>
      <c r="J112">
        <v>160</v>
      </c>
      <c r="K112" t="s">
        <v>131</v>
      </c>
      <c r="L112" t="s">
        <v>25</v>
      </c>
      <c r="N112" s="3">
        <v>6000</v>
      </c>
      <c r="O112">
        <v>5800</v>
      </c>
      <c r="P112">
        <f>IF(OR(ISBLANK(Table1[[#This Row],[ميعاد التسليم]]),ISBLANK(Table1[[#This Row],[ميعاد الطلب]])),0,Table1[[#This Row],[ميعاد التسليم]]-Table1[[#This Row],[ميعاد الطلب]])</f>
        <v>10</v>
      </c>
      <c r="Q112">
        <f>IF(OR(ISBLANK(Table1[[#This Row],[تاريخ التسليم]]),ISBLANK(Table1[[#This Row],[ميعاد الطلب]])),0,Table1[[#This Row],[تاريخ التسليم]]-Table1[[#This Row],[ميعاد الطلب]])</f>
        <v>5</v>
      </c>
      <c r="R112">
        <f>Table1[[#This Row],[مدة التسليم (الهدف)]]-Table1[[#This Row],[مدة التسليم الفعلية]]</f>
        <v>5</v>
      </c>
      <c r="S112" t="str">
        <f>IF(Table1[[#This Row],[Column1]]&lt;=0,"متأخرة","مسلمة في الموعد")</f>
        <v>مسلمة في الموعد</v>
      </c>
      <c r="T112" s="1">
        <v>45618</v>
      </c>
      <c r="U112" s="1">
        <v>45628</v>
      </c>
      <c r="V112" s="1">
        <v>45623</v>
      </c>
      <c r="W112" t="s">
        <v>72</v>
      </c>
      <c r="X112" t="s">
        <v>29</v>
      </c>
    </row>
    <row r="113" spans="1:24" x14ac:dyDescent="0.25">
      <c r="A113">
        <v>113</v>
      </c>
      <c r="B113" t="s">
        <v>19</v>
      </c>
      <c r="C113" t="s">
        <v>248</v>
      </c>
      <c r="D113" t="s">
        <v>249</v>
      </c>
      <c r="E113" t="s">
        <v>299</v>
      </c>
      <c r="F113" t="s">
        <v>22</v>
      </c>
      <c r="G113" t="s">
        <v>23</v>
      </c>
      <c r="H113" t="s">
        <v>244</v>
      </c>
      <c r="I113" t="s">
        <v>250</v>
      </c>
      <c r="J113">
        <v>120</v>
      </c>
      <c r="K113" t="s">
        <v>46</v>
      </c>
      <c r="N113" s="3">
        <v>10885</v>
      </c>
      <c r="O113">
        <v>7965</v>
      </c>
      <c r="P113">
        <f>IF(OR(ISBLANK(Table1[[#This Row],[ميعاد التسليم]]),ISBLANK(Table1[[#This Row],[ميعاد الطلب]])),0,Table1[[#This Row],[ميعاد التسليم]]-Table1[[#This Row],[ميعاد الطلب]])</f>
        <v>11</v>
      </c>
      <c r="Q113">
        <f>IF(OR(ISBLANK(Table1[[#This Row],[تاريخ التسليم]]),ISBLANK(Table1[[#This Row],[ميعاد الطلب]])),0,Table1[[#This Row],[تاريخ التسليم]]-Table1[[#This Row],[ميعاد الطلب]])</f>
        <v>16</v>
      </c>
      <c r="R113">
        <f>Table1[[#This Row],[مدة التسليم (الهدف)]]-Table1[[#This Row],[مدة التسليم الفعلية]]</f>
        <v>-5</v>
      </c>
      <c r="S113" t="str">
        <f>IF(Table1[[#This Row],[Column1]]&lt;=0,"متأخرة","مسلمة في الموعد")</f>
        <v>متأخرة</v>
      </c>
      <c r="T113" s="1">
        <v>45620</v>
      </c>
      <c r="U113" s="1">
        <v>45631</v>
      </c>
      <c r="V113" s="1">
        <v>45636</v>
      </c>
      <c r="W113" t="s">
        <v>72</v>
      </c>
      <c r="X113" t="s">
        <v>29</v>
      </c>
    </row>
    <row r="114" spans="1:24" x14ac:dyDescent="0.25">
      <c r="A114">
        <v>114</v>
      </c>
      <c r="B114" t="s">
        <v>48</v>
      </c>
      <c r="C114" t="s">
        <v>60</v>
      </c>
      <c r="D114" t="s">
        <v>70</v>
      </c>
      <c r="E114" t="s">
        <v>299</v>
      </c>
      <c r="F114" t="s">
        <v>62</v>
      </c>
      <c r="G114" t="s">
        <v>50</v>
      </c>
      <c r="H114" t="s">
        <v>251</v>
      </c>
      <c r="I114" t="s">
        <v>251</v>
      </c>
      <c r="K114" t="s">
        <v>288</v>
      </c>
      <c r="N114" s="3">
        <v>6000</v>
      </c>
      <c r="O114">
        <v>6000</v>
      </c>
      <c r="P114">
        <f>IF(OR(ISBLANK(Table1[[#This Row],[ميعاد التسليم]]),ISBLANK(Table1[[#This Row],[ميعاد الطلب]])),0,Table1[[#This Row],[ميعاد التسليم]]-Table1[[#This Row],[ميعاد الطلب]])</f>
        <v>16</v>
      </c>
      <c r="Q114">
        <f>IF(OR(ISBLANK(Table1[[#This Row],[تاريخ التسليم]]),ISBLANK(Table1[[#This Row],[ميعاد الطلب]])),0,Table1[[#This Row],[تاريخ التسليم]]-Table1[[#This Row],[ميعاد الطلب]])</f>
        <v>1</v>
      </c>
      <c r="R114">
        <f>Table1[[#This Row],[مدة التسليم (الهدف)]]-Table1[[#This Row],[مدة التسليم الفعلية]]</f>
        <v>15</v>
      </c>
      <c r="S114" t="str">
        <f>IF(Table1[[#This Row],[Column1]]&lt;=0,"متأخرة","مسلمة في الموعد")</f>
        <v>مسلمة في الموعد</v>
      </c>
      <c r="T114" s="1">
        <v>45615</v>
      </c>
      <c r="U114" s="1">
        <v>45631</v>
      </c>
      <c r="V114" s="1">
        <v>45616</v>
      </c>
      <c r="W114" t="s">
        <v>252</v>
      </c>
      <c r="X114" t="s">
        <v>29</v>
      </c>
    </row>
    <row r="115" spans="1:24" x14ac:dyDescent="0.25">
      <c r="A115">
        <v>115</v>
      </c>
      <c r="B115" t="s">
        <v>19</v>
      </c>
      <c r="C115" t="s">
        <v>253</v>
      </c>
      <c r="D115" t="s">
        <v>254</v>
      </c>
      <c r="E115" t="s">
        <v>298</v>
      </c>
      <c r="F115" t="s">
        <v>22</v>
      </c>
      <c r="G115" t="s">
        <v>42</v>
      </c>
      <c r="I115" t="s">
        <v>255</v>
      </c>
      <c r="K115" t="s">
        <v>288</v>
      </c>
      <c r="N115" s="3">
        <v>8449</v>
      </c>
      <c r="O115" t="s">
        <v>27</v>
      </c>
      <c r="P115">
        <f>IF(OR(ISBLANK(Table1[[#This Row],[ميعاد التسليم]]),ISBLANK(Table1[[#This Row],[ميعاد الطلب]])),0,Table1[[#This Row],[ميعاد التسليم]]-Table1[[#This Row],[ميعاد الطلب]])</f>
        <v>13</v>
      </c>
      <c r="Q115">
        <f>IF(OR(ISBLANK(Table1[[#This Row],[تاريخ التسليم]]),ISBLANK(Table1[[#This Row],[ميعاد الطلب]])),0,Table1[[#This Row],[تاريخ التسليم]]-Table1[[#This Row],[ميعاد الطلب]])</f>
        <v>26</v>
      </c>
      <c r="R115">
        <f>Table1[[#This Row],[مدة التسليم (الهدف)]]-Table1[[#This Row],[مدة التسليم الفعلية]]</f>
        <v>-13</v>
      </c>
      <c r="S115" t="str">
        <f>IF(Table1[[#This Row],[Column1]]&lt;=0,"متأخرة","مسلمة في الموعد")</f>
        <v>متأخرة</v>
      </c>
      <c r="T115" s="1">
        <v>45623</v>
      </c>
      <c r="U115" s="1">
        <v>45636</v>
      </c>
      <c r="V115" s="1">
        <v>45649</v>
      </c>
      <c r="W115" t="s">
        <v>28</v>
      </c>
      <c r="X115" t="s">
        <v>29</v>
      </c>
    </row>
    <row r="116" spans="1:24" x14ac:dyDescent="0.25">
      <c r="A116">
        <v>116</v>
      </c>
      <c r="B116" t="s">
        <v>19</v>
      </c>
      <c r="C116" t="s">
        <v>256</v>
      </c>
      <c r="D116" t="s">
        <v>88</v>
      </c>
      <c r="E116" t="s">
        <v>299</v>
      </c>
      <c r="F116" t="s">
        <v>22</v>
      </c>
      <c r="G116" t="s">
        <v>42</v>
      </c>
      <c r="H116" t="s">
        <v>257</v>
      </c>
      <c r="I116" t="s">
        <v>258</v>
      </c>
      <c r="K116" t="s">
        <v>25</v>
      </c>
      <c r="L116" t="s">
        <v>203</v>
      </c>
      <c r="N116" s="3">
        <v>10249</v>
      </c>
      <c r="O116">
        <v>6211</v>
      </c>
      <c r="P116">
        <f>IF(OR(ISBLANK(Table1[[#This Row],[ميعاد التسليم]]),ISBLANK(Table1[[#This Row],[ميعاد الطلب]])),0,Table1[[#This Row],[ميعاد التسليم]]-Table1[[#This Row],[ميعاد الطلب]])</f>
        <v>13</v>
      </c>
      <c r="Q116">
        <f>IF(OR(ISBLANK(Table1[[#This Row],[تاريخ التسليم]]),ISBLANK(Table1[[#This Row],[ميعاد الطلب]])),0,Table1[[#This Row],[تاريخ التسليم]]-Table1[[#This Row],[ميعاد الطلب]])</f>
        <v>22</v>
      </c>
      <c r="R116">
        <f>Table1[[#This Row],[مدة التسليم (الهدف)]]-Table1[[#This Row],[مدة التسليم الفعلية]]</f>
        <v>-9</v>
      </c>
      <c r="S116" t="str">
        <f>IF(Table1[[#This Row],[Column1]]&lt;=0,"متأخرة","مسلمة في الموعد")</f>
        <v>متأخرة</v>
      </c>
      <c r="T116" s="1">
        <v>45623</v>
      </c>
      <c r="U116" s="1">
        <v>45636</v>
      </c>
      <c r="V116" s="1">
        <v>45645</v>
      </c>
      <c r="W116" t="s">
        <v>72</v>
      </c>
      <c r="X116" t="s">
        <v>29</v>
      </c>
    </row>
    <row r="117" spans="1:24" x14ac:dyDescent="0.25">
      <c r="A117">
        <v>117</v>
      </c>
      <c r="B117" t="s">
        <v>19</v>
      </c>
      <c r="C117" t="s">
        <v>259</v>
      </c>
      <c r="D117" t="s">
        <v>260</v>
      </c>
      <c r="F117" t="s">
        <v>22</v>
      </c>
      <c r="G117" t="s">
        <v>23</v>
      </c>
      <c r="H117" t="s">
        <v>36</v>
      </c>
      <c r="I117" t="s">
        <v>37</v>
      </c>
      <c r="J117">
        <v>100</v>
      </c>
      <c r="K117" t="s">
        <v>32</v>
      </c>
      <c r="N117" s="3">
        <v>14905</v>
      </c>
      <c r="O117" t="s">
        <v>27</v>
      </c>
      <c r="P117">
        <f>IF(OR(ISBLANK(Table1[[#This Row],[ميعاد التسليم]]),ISBLANK(Table1[[#This Row],[ميعاد الطلب]])),0,Table1[[#This Row],[ميعاد التسليم]]-Table1[[#This Row],[ميعاد الطلب]])</f>
        <v>16</v>
      </c>
      <c r="Q117">
        <f>IF(OR(ISBLANK(Table1[[#This Row],[تاريخ التسليم]]),ISBLANK(Table1[[#This Row],[ميعاد الطلب]])),0,Table1[[#This Row],[تاريخ التسليم]]-Table1[[#This Row],[ميعاد الطلب]])</f>
        <v>0</v>
      </c>
      <c r="R117">
        <f>Table1[[#This Row],[مدة التسليم (الهدف)]]-Table1[[#This Row],[مدة التسليم الفعلية]]</f>
        <v>16</v>
      </c>
      <c r="S117" t="str">
        <f>IF(Table1[[#This Row],[Column1]]&lt;=0,"متأخرة","مسلمة في الموعد")</f>
        <v>مسلمة في الموعد</v>
      </c>
      <c r="T117" s="1">
        <v>45625</v>
      </c>
      <c r="U117" s="1">
        <v>45641</v>
      </c>
      <c r="W117" t="s">
        <v>68</v>
      </c>
      <c r="X117" t="s">
        <v>69</v>
      </c>
    </row>
    <row r="118" spans="1:24" x14ac:dyDescent="0.25">
      <c r="A118">
        <v>118</v>
      </c>
      <c r="B118" t="s">
        <v>19</v>
      </c>
      <c r="C118" t="s">
        <v>261</v>
      </c>
      <c r="D118" t="s">
        <v>91</v>
      </c>
      <c r="F118" t="s">
        <v>22</v>
      </c>
      <c r="G118" t="s">
        <v>42</v>
      </c>
      <c r="H118" t="s">
        <v>257</v>
      </c>
      <c r="I118" t="s">
        <v>258</v>
      </c>
      <c r="K118" t="s">
        <v>198</v>
      </c>
      <c r="L118" t="s">
        <v>287</v>
      </c>
      <c r="N118" s="3">
        <v>10249</v>
      </c>
      <c r="O118" t="s">
        <v>27</v>
      </c>
      <c r="P118">
        <f>IF(OR(ISBLANK(Table1[[#This Row],[ميعاد التسليم]]),ISBLANK(Table1[[#This Row],[ميعاد الطلب]])),0,Table1[[#This Row],[ميعاد التسليم]]-Table1[[#This Row],[ميعاد الطلب]])</f>
        <v>12</v>
      </c>
      <c r="Q118">
        <f>IF(OR(ISBLANK(Table1[[#This Row],[تاريخ التسليم]]),ISBLANK(Table1[[#This Row],[ميعاد الطلب]])),0,Table1[[#This Row],[تاريخ التسليم]]-Table1[[#This Row],[ميعاد الطلب]])</f>
        <v>0</v>
      </c>
      <c r="R118">
        <f>Table1[[#This Row],[مدة التسليم (الهدف)]]-Table1[[#This Row],[مدة التسليم الفعلية]]</f>
        <v>12</v>
      </c>
      <c r="S118" t="str">
        <f>IF(Table1[[#This Row],[Column1]]&lt;=0,"متأخرة","مسلمة في الموعد")</f>
        <v>مسلمة في الموعد</v>
      </c>
      <c r="T118" s="1">
        <v>45626</v>
      </c>
      <c r="U118" s="1">
        <v>45638</v>
      </c>
      <c r="X118" t="s">
        <v>69</v>
      </c>
    </row>
    <row r="119" spans="1:24" x14ac:dyDescent="0.25">
      <c r="A119">
        <v>119</v>
      </c>
      <c r="B119" t="s">
        <v>19</v>
      </c>
      <c r="C119" t="s">
        <v>262</v>
      </c>
      <c r="D119" t="s">
        <v>91</v>
      </c>
      <c r="F119" t="s">
        <v>22</v>
      </c>
      <c r="G119" t="s">
        <v>42</v>
      </c>
      <c r="H119" t="s">
        <v>117</v>
      </c>
      <c r="K119" t="s">
        <v>32</v>
      </c>
      <c r="L119" t="s">
        <v>287</v>
      </c>
      <c r="N119" s="3">
        <v>9029</v>
      </c>
      <c r="O119" t="s">
        <v>27</v>
      </c>
      <c r="P119">
        <f>IF(OR(ISBLANK(Table1[[#This Row],[ميعاد التسليم]]),ISBLANK(Table1[[#This Row],[ميعاد الطلب]])),0,Table1[[#This Row],[ميعاد التسليم]]-Table1[[#This Row],[ميعاد الطلب]])</f>
        <v>12</v>
      </c>
      <c r="Q119">
        <f>IF(OR(ISBLANK(Table1[[#This Row],[تاريخ التسليم]]),ISBLANK(Table1[[#This Row],[ميعاد الطلب]])),0,Table1[[#This Row],[تاريخ التسليم]]-Table1[[#This Row],[ميعاد الطلب]])</f>
        <v>0</v>
      </c>
      <c r="R119">
        <f>Table1[[#This Row],[مدة التسليم (الهدف)]]-Table1[[#This Row],[مدة التسليم الفعلية]]</f>
        <v>12</v>
      </c>
      <c r="S119" t="str">
        <f>IF(Table1[[#This Row],[Column1]]&lt;=0,"متأخرة","مسلمة في الموعد")</f>
        <v>مسلمة في الموعد</v>
      </c>
      <c r="T119" s="1">
        <v>45626</v>
      </c>
      <c r="U119" s="1">
        <v>45638</v>
      </c>
      <c r="X119" t="s">
        <v>69</v>
      </c>
    </row>
    <row r="120" spans="1:24" x14ac:dyDescent="0.25">
      <c r="A120">
        <v>120</v>
      </c>
      <c r="B120" t="s">
        <v>19</v>
      </c>
      <c r="C120" t="s">
        <v>263</v>
      </c>
      <c r="D120" t="s">
        <v>113</v>
      </c>
      <c r="E120" t="s">
        <v>201</v>
      </c>
      <c r="F120" t="s">
        <v>22</v>
      </c>
      <c r="G120" t="s">
        <v>42</v>
      </c>
      <c r="H120" t="s">
        <v>264</v>
      </c>
      <c r="K120" t="s">
        <v>198</v>
      </c>
      <c r="L120" t="s">
        <v>265</v>
      </c>
      <c r="N120" s="3">
        <v>9029</v>
      </c>
      <c r="O120" t="s">
        <v>27</v>
      </c>
      <c r="P120">
        <f>IF(OR(ISBLANK(Table1[[#This Row],[ميعاد التسليم]]),ISBLANK(Table1[[#This Row],[ميعاد الطلب]])),0,Table1[[#This Row],[ميعاد التسليم]]-Table1[[#This Row],[ميعاد الطلب]])</f>
        <v>12</v>
      </c>
      <c r="Q120">
        <f>IF(OR(ISBLANK(Table1[[#This Row],[تاريخ التسليم]]),ISBLANK(Table1[[#This Row],[ميعاد الطلب]])),0,Table1[[#This Row],[تاريخ التسليم]]-Table1[[#This Row],[ميعاد الطلب]])</f>
        <v>0</v>
      </c>
      <c r="R120">
        <f>Table1[[#This Row],[مدة التسليم (الهدف)]]-Table1[[#This Row],[مدة التسليم الفعلية]]</f>
        <v>12</v>
      </c>
      <c r="S120" t="str">
        <f>IF(Table1[[#This Row],[Column1]]&lt;=0,"متأخرة","مسلمة في الموعد")</f>
        <v>مسلمة في الموعد</v>
      </c>
      <c r="T120" s="1">
        <v>45626</v>
      </c>
      <c r="U120" s="1">
        <v>45638</v>
      </c>
      <c r="X120" t="s">
        <v>29</v>
      </c>
    </row>
    <row r="121" spans="1:24" x14ac:dyDescent="0.25">
      <c r="A121">
        <v>121</v>
      </c>
      <c r="B121" t="s">
        <v>19</v>
      </c>
      <c r="C121" t="s">
        <v>266</v>
      </c>
      <c r="D121" t="s">
        <v>267</v>
      </c>
      <c r="F121" t="s">
        <v>22</v>
      </c>
      <c r="G121" t="s">
        <v>23</v>
      </c>
      <c r="H121" t="s">
        <v>239</v>
      </c>
      <c r="I121" t="s">
        <v>45</v>
      </c>
      <c r="J121">
        <v>80</v>
      </c>
      <c r="K121" t="s">
        <v>25</v>
      </c>
      <c r="N121" s="3">
        <v>12099</v>
      </c>
      <c r="O121" t="s">
        <v>27</v>
      </c>
      <c r="P121">
        <f>IF(OR(ISBLANK(Table1[[#This Row],[ميعاد التسليم]]),ISBLANK(Table1[[#This Row],[ميعاد الطلب]])),0,Table1[[#This Row],[ميعاد التسليم]]-Table1[[#This Row],[ميعاد الطلب]])</f>
        <v>15</v>
      </c>
      <c r="Q121">
        <f>IF(OR(ISBLANK(Table1[[#This Row],[تاريخ التسليم]]),ISBLANK(Table1[[#This Row],[ميعاد الطلب]])),0,Table1[[#This Row],[تاريخ التسليم]]-Table1[[#This Row],[ميعاد الطلب]])</f>
        <v>0</v>
      </c>
      <c r="R121">
        <f>Table1[[#This Row],[مدة التسليم (الهدف)]]-Table1[[#This Row],[مدة التسليم الفعلية]]</f>
        <v>15</v>
      </c>
      <c r="S121" t="str">
        <f>IF(Table1[[#This Row],[Column1]]&lt;=0,"متأخرة","مسلمة في الموعد")</f>
        <v>مسلمة في الموعد</v>
      </c>
      <c r="T121" s="1">
        <v>45628</v>
      </c>
      <c r="U121" s="1">
        <v>45643</v>
      </c>
      <c r="X121" t="s">
        <v>69</v>
      </c>
    </row>
    <row r="122" spans="1:24" x14ac:dyDescent="0.25">
      <c r="A122">
        <v>122</v>
      </c>
      <c r="B122" t="s">
        <v>48</v>
      </c>
      <c r="C122" t="s">
        <v>105</v>
      </c>
      <c r="D122" t="s">
        <v>191</v>
      </c>
      <c r="E122" t="s">
        <v>300</v>
      </c>
      <c r="F122" t="s">
        <v>85</v>
      </c>
      <c r="G122" t="s">
        <v>23</v>
      </c>
      <c r="H122" t="s">
        <v>239</v>
      </c>
      <c r="I122" t="s">
        <v>242</v>
      </c>
      <c r="J122">
        <v>90</v>
      </c>
      <c r="K122" t="s">
        <v>38</v>
      </c>
      <c r="N122" s="3">
        <v>5217</v>
      </c>
      <c r="O122" t="s">
        <v>108</v>
      </c>
      <c r="P122">
        <f>IF(OR(ISBLANK(Table1[[#This Row],[ميعاد التسليم]]),ISBLANK(Table1[[#This Row],[ميعاد الطلب]])),0,Table1[[#This Row],[ميعاد التسليم]]-Table1[[#This Row],[ميعاد الطلب]])</f>
        <v>13</v>
      </c>
      <c r="Q122">
        <f>IF(OR(ISBLANK(Table1[[#This Row],[تاريخ التسليم]]),ISBLANK(Table1[[#This Row],[ميعاد الطلب]])),0,Table1[[#This Row],[تاريخ التسليم]]-Table1[[#This Row],[ميعاد الطلب]])</f>
        <v>9</v>
      </c>
      <c r="R122">
        <f>Table1[[#This Row],[مدة التسليم (الهدف)]]-Table1[[#This Row],[مدة التسليم الفعلية]]</f>
        <v>4</v>
      </c>
      <c r="S122" t="str">
        <f>IF(Table1[[#This Row],[Column1]]&lt;=0,"متأخرة","مسلمة في الموعد")</f>
        <v>مسلمة في الموعد</v>
      </c>
      <c r="T122" s="1">
        <v>45627</v>
      </c>
      <c r="U122" s="1">
        <v>45640</v>
      </c>
      <c r="V122" s="1">
        <v>45636</v>
      </c>
      <c r="W122" t="s">
        <v>72</v>
      </c>
      <c r="X122" t="s">
        <v>29</v>
      </c>
    </row>
    <row r="123" spans="1:24" x14ac:dyDescent="0.25">
      <c r="A123">
        <v>123</v>
      </c>
      <c r="B123" t="s">
        <v>19</v>
      </c>
      <c r="C123" t="s">
        <v>268</v>
      </c>
      <c r="D123" t="s">
        <v>175</v>
      </c>
      <c r="E123" t="s">
        <v>300</v>
      </c>
      <c r="F123" t="s">
        <v>22</v>
      </c>
      <c r="G123" t="s">
        <v>23</v>
      </c>
      <c r="H123" t="s">
        <v>24</v>
      </c>
      <c r="K123" t="s">
        <v>32</v>
      </c>
      <c r="L123" t="s">
        <v>32</v>
      </c>
      <c r="N123" s="3">
        <v>10249</v>
      </c>
      <c r="O123">
        <v>6211</v>
      </c>
      <c r="P123">
        <f>IF(OR(ISBLANK(Table1[[#This Row],[ميعاد التسليم]]),ISBLANK(Table1[[#This Row],[ميعاد الطلب]])),0,Table1[[#This Row],[ميعاد التسليم]]-Table1[[#This Row],[ميعاد الطلب]])</f>
        <v>10</v>
      </c>
      <c r="Q123">
        <f>IF(OR(ISBLANK(Table1[[#This Row],[تاريخ التسليم]]),ISBLANK(Table1[[#This Row],[ميعاد الطلب]])),0,Table1[[#This Row],[تاريخ التسليم]]-Table1[[#This Row],[ميعاد الطلب]])</f>
        <v>15</v>
      </c>
      <c r="R123">
        <f>Table1[[#This Row],[مدة التسليم (الهدف)]]-Table1[[#This Row],[مدة التسليم الفعلية]]</f>
        <v>-5</v>
      </c>
      <c r="S123" t="str">
        <f>IF(Table1[[#This Row],[Column1]]&lt;=0,"متأخرة","مسلمة في الموعد")</f>
        <v>متأخرة</v>
      </c>
      <c r="T123" s="1">
        <v>45630</v>
      </c>
      <c r="U123" s="1">
        <v>45640</v>
      </c>
      <c r="V123" s="1">
        <v>45645</v>
      </c>
      <c r="W123" t="s">
        <v>72</v>
      </c>
      <c r="X123" t="s">
        <v>29</v>
      </c>
    </row>
    <row r="124" spans="1:24" x14ac:dyDescent="0.25">
      <c r="A124">
        <v>124</v>
      </c>
      <c r="B124" t="s">
        <v>19</v>
      </c>
      <c r="C124" t="s">
        <v>269</v>
      </c>
      <c r="D124" t="s">
        <v>270</v>
      </c>
      <c r="E124" t="s">
        <v>299</v>
      </c>
      <c r="F124" t="s">
        <v>49</v>
      </c>
      <c r="G124" t="s">
        <v>23</v>
      </c>
      <c r="H124" t="s">
        <v>36</v>
      </c>
      <c r="I124" t="s">
        <v>89</v>
      </c>
      <c r="K124" t="s">
        <v>32</v>
      </c>
      <c r="N124" s="3">
        <v>10445</v>
      </c>
      <c r="O124">
        <v>7707</v>
      </c>
      <c r="P124">
        <f>IF(OR(ISBLANK(Table1[[#This Row],[ميعاد التسليم]]),ISBLANK(Table1[[#This Row],[ميعاد الطلب]])),0,Table1[[#This Row],[ميعاد التسليم]]-Table1[[#This Row],[ميعاد الطلب]])</f>
        <v>22</v>
      </c>
      <c r="Q124">
        <f>IF(OR(ISBLANK(Table1[[#This Row],[تاريخ التسليم]]),ISBLANK(Table1[[#This Row],[ميعاد الطلب]])),0,Table1[[#This Row],[تاريخ التسليم]]-Table1[[#This Row],[ميعاد الطلب]])</f>
        <v>3</v>
      </c>
      <c r="R124">
        <f>Table1[[#This Row],[مدة التسليم (الهدف)]]-Table1[[#This Row],[مدة التسليم الفعلية]]</f>
        <v>19</v>
      </c>
      <c r="S124" t="str">
        <f>IF(Table1[[#This Row],[Column1]]&lt;=0,"متأخرة","مسلمة في الموعد")</f>
        <v>مسلمة في الموعد</v>
      </c>
      <c r="T124" s="1">
        <v>45635</v>
      </c>
      <c r="U124" s="1">
        <v>45657</v>
      </c>
      <c r="V124" s="1">
        <v>45638</v>
      </c>
      <c r="W124" t="s">
        <v>72</v>
      </c>
      <c r="X124" t="s">
        <v>29</v>
      </c>
    </row>
    <row r="125" spans="1:24" x14ac:dyDescent="0.25">
      <c r="A125">
        <v>125</v>
      </c>
      <c r="B125" t="s">
        <v>19</v>
      </c>
      <c r="C125" t="s">
        <v>271</v>
      </c>
      <c r="D125" t="s">
        <v>91</v>
      </c>
      <c r="E125" t="s">
        <v>299</v>
      </c>
      <c r="F125" t="s">
        <v>22</v>
      </c>
      <c r="G125" t="s">
        <v>42</v>
      </c>
      <c r="H125" t="s">
        <v>272</v>
      </c>
      <c r="I125" t="s">
        <v>258</v>
      </c>
      <c r="K125" t="s">
        <v>198</v>
      </c>
      <c r="L125" t="s">
        <v>287</v>
      </c>
      <c r="N125" s="3">
        <v>11199</v>
      </c>
      <c r="O125">
        <v>11257</v>
      </c>
      <c r="P125">
        <f>IF(OR(ISBLANK(Table1[[#This Row],[ميعاد التسليم]]),ISBLANK(Table1[[#This Row],[ميعاد الطلب]])),0,Table1[[#This Row],[ميعاد التسليم]]-Table1[[#This Row],[ميعاد الطلب]])</f>
        <v>12</v>
      </c>
      <c r="Q125">
        <f>IF(OR(ISBLANK(Table1[[#This Row],[تاريخ التسليم]]),ISBLANK(Table1[[#This Row],[ميعاد الطلب]])),0,Table1[[#This Row],[تاريخ التسليم]]-Table1[[#This Row],[ميعاد الطلب]])</f>
        <v>7</v>
      </c>
      <c r="R125">
        <f>Table1[[#This Row],[مدة التسليم (الهدف)]]-Table1[[#This Row],[مدة التسليم الفعلية]]</f>
        <v>5</v>
      </c>
      <c r="S125" t="str">
        <f>IF(Table1[[#This Row],[Column1]]&lt;=0,"متأخرة","مسلمة في الموعد")</f>
        <v>مسلمة في الموعد</v>
      </c>
      <c r="T125" s="1">
        <v>45638</v>
      </c>
      <c r="U125" s="1">
        <v>45650</v>
      </c>
      <c r="V125" s="1">
        <v>45645</v>
      </c>
      <c r="W125" t="s">
        <v>72</v>
      </c>
      <c r="X125" t="s">
        <v>29</v>
      </c>
    </row>
    <row r="126" spans="1:24" x14ac:dyDescent="0.25">
      <c r="A126">
        <v>126</v>
      </c>
      <c r="B126" t="s">
        <v>19</v>
      </c>
      <c r="C126" t="s">
        <v>273</v>
      </c>
      <c r="D126" t="s">
        <v>243</v>
      </c>
      <c r="E126" t="s">
        <v>297</v>
      </c>
      <c r="F126" t="s">
        <v>22</v>
      </c>
      <c r="G126" t="s">
        <v>23</v>
      </c>
      <c r="H126" t="s">
        <v>36</v>
      </c>
      <c r="I126" t="s">
        <v>45</v>
      </c>
      <c r="J126">
        <v>80</v>
      </c>
      <c r="K126" t="s">
        <v>32</v>
      </c>
      <c r="N126" s="3">
        <v>13099</v>
      </c>
      <c r="O126">
        <v>13231</v>
      </c>
      <c r="P126">
        <f>IF(OR(ISBLANK(Table1[[#This Row],[ميعاد التسليم]]),ISBLANK(Table1[[#This Row],[ميعاد الطلب]])),0,Table1[[#This Row],[ميعاد التسليم]]-Table1[[#This Row],[ميعاد الطلب]])</f>
        <v>16</v>
      </c>
      <c r="Q126">
        <f>IF(OR(ISBLANK(Table1[[#This Row],[تاريخ التسليم]]),ISBLANK(Table1[[#This Row],[ميعاد الطلب]])),0,Table1[[#This Row],[تاريخ التسليم]]-Table1[[#This Row],[ميعاد الطلب]])</f>
        <v>17</v>
      </c>
      <c r="R126">
        <f>Table1[[#This Row],[مدة التسليم (الهدف)]]-Table1[[#This Row],[مدة التسليم الفعلية]]</f>
        <v>-1</v>
      </c>
      <c r="S126" t="str">
        <f>IF(Table1[[#This Row],[Column1]]&lt;=0,"متأخرة","مسلمة في الموعد")</f>
        <v>متأخرة</v>
      </c>
      <c r="T126" s="1">
        <v>45638</v>
      </c>
      <c r="U126" s="1">
        <v>45654</v>
      </c>
      <c r="V126" s="1">
        <v>45655</v>
      </c>
      <c r="W126" t="s">
        <v>72</v>
      </c>
      <c r="X126" t="s">
        <v>29</v>
      </c>
    </row>
    <row r="127" spans="1:24" x14ac:dyDescent="0.25">
      <c r="A127">
        <v>127</v>
      </c>
      <c r="B127" t="s">
        <v>48</v>
      </c>
      <c r="C127" t="s">
        <v>103</v>
      </c>
      <c r="D127" t="s">
        <v>210</v>
      </c>
      <c r="F127" t="s">
        <v>49</v>
      </c>
      <c r="G127" t="s">
        <v>50</v>
      </c>
      <c r="H127" t="s">
        <v>196</v>
      </c>
      <c r="I127" t="s">
        <v>233</v>
      </c>
      <c r="K127" t="s">
        <v>198</v>
      </c>
      <c r="L127" t="s">
        <v>203</v>
      </c>
      <c r="N127" s="3">
        <v>8700</v>
      </c>
      <c r="O127" t="s">
        <v>108</v>
      </c>
      <c r="P127">
        <f>IF(OR(ISBLANK(Table1[[#This Row],[ميعاد التسليم]]),ISBLANK(Table1[[#This Row],[ميعاد الطلب]])),0,Table1[[#This Row],[ميعاد التسليم]]-Table1[[#This Row],[ميعاد الطلب]])</f>
        <v>22</v>
      </c>
      <c r="Q127">
        <f>IF(OR(ISBLANK(Table1[[#This Row],[تاريخ التسليم]]),ISBLANK(Table1[[#This Row],[ميعاد الطلب]])),0,Table1[[#This Row],[تاريخ التسليم]]-Table1[[#This Row],[ميعاد الطلب]])</f>
        <v>15</v>
      </c>
      <c r="R127">
        <f>Table1[[#This Row],[مدة التسليم (الهدف)]]-Table1[[#This Row],[مدة التسليم الفعلية]]</f>
        <v>7</v>
      </c>
      <c r="S127" t="str">
        <f>IF(Table1[[#This Row],[Column1]]&lt;=0,"متأخرة","مسلمة في الموعد")</f>
        <v>مسلمة في الموعد</v>
      </c>
      <c r="T127" s="1">
        <v>45640</v>
      </c>
      <c r="U127" s="1">
        <v>45662</v>
      </c>
      <c r="V127" s="1">
        <v>45655</v>
      </c>
      <c r="W127" t="s">
        <v>72</v>
      </c>
      <c r="X127" t="s">
        <v>29</v>
      </c>
    </row>
  </sheetData>
  <phoneticPr fontId="6"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4AB29-BE33-4614-B9D0-B3322CD46229}">
  <dimension ref="A1:BE19"/>
  <sheetViews>
    <sheetView workbookViewId="0">
      <selection activeCell="L9" sqref="L9"/>
    </sheetView>
  </sheetViews>
  <sheetFormatPr defaultRowHeight="15" x14ac:dyDescent="0.25"/>
  <cols>
    <col min="1" max="1" width="15.42578125" bestFit="1" customWidth="1"/>
    <col min="2" max="2" width="8.28515625" bestFit="1" customWidth="1"/>
    <col min="3" max="3" width="13.28515625" bestFit="1" customWidth="1"/>
    <col min="5" max="5" width="9.140625" style="5"/>
    <col min="6" max="6" width="10" bestFit="1" customWidth="1"/>
    <col min="7" max="7" width="8.28515625" bestFit="1" customWidth="1"/>
    <col min="10" max="10" width="9.140625" style="5"/>
    <col min="11" max="11" width="13.140625" bestFit="1" customWidth="1"/>
    <col min="12" max="12" width="19" bestFit="1" customWidth="1"/>
    <col min="13" max="13" width="13.140625" bestFit="1" customWidth="1"/>
    <col min="14" max="14" width="19" bestFit="1" customWidth="1"/>
    <col min="16" max="16" width="9.140625" style="5"/>
    <col min="17" max="17" width="13.140625" bestFit="1" customWidth="1"/>
    <col min="18" max="18" width="15.42578125" bestFit="1" customWidth="1"/>
    <col min="19" max="19" width="11.28515625" bestFit="1" customWidth="1"/>
    <col min="20" max="20" width="15.42578125" bestFit="1" customWidth="1"/>
    <col min="21" max="21" width="8" bestFit="1" customWidth="1"/>
    <col min="22" max="22" width="9.140625" style="5"/>
    <col min="23" max="23" width="13.140625" bestFit="1" customWidth="1"/>
    <col min="24" max="24" width="12.5703125" bestFit="1" customWidth="1"/>
    <col min="28" max="28" width="9.140625" style="5"/>
    <col min="29" max="29" width="13.140625" bestFit="1" customWidth="1"/>
    <col min="30" max="30" width="13.5703125" bestFit="1" customWidth="1"/>
    <col min="34" max="34" width="9.140625" style="5"/>
    <col min="35" max="35" width="13.140625" bestFit="1" customWidth="1"/>
    <col min="36" max="36" width="17" bestFit="1" customWidth="1"/>
    <col min="41" max="41" width="9.140625" style="5"/>
    <col min="42" max="42" width="13.140625" bestFit="1" customWidth="1"/>
    <col min="43" max="43" width="13.5703125" bestFit="1" customWidth="1"/>
    <col min="47" max="47" width="9.140625" style="5"/>
    <col min="48" max="48" width="13.140625" bestFit="1" customWidth="1"/>
    <col min="49" max="49" width="13.5703125" bestFit="1" customWidth="1"/>
    <col min="50" max="50" width="5.7109375" bestFit="1" customWidth="1"/>
    <col min="51" max="51" width="4.28515625" bestFit="1" customWidth="1"/>
    <col min="52" max="52" width="11.28515625" bestFit="1" customWidth="1"/>
    <col min="53" max="53" width="9.140625" style="5"/>
    <col min="54" max="54" width="13.140625" bestFit="1" customWidth="1"/>
    <col min="55" max="55" width="10" bestFit="1" customWidth="1"/>
  </cols>
  <sheetData>
    <row r="1" spans="1:57" ht="15" customHeight="1" x14ac:dyDescent="0.25">
      <c r="A1" s="14" t="s">
        <v>274</v>
      </c>
      <c r="B1" s="14"/>
      <c r="C1" s="14"/>
      <c r="F1" s="14" t="s">
        <v>276</v>
      </c>
      <c r="G1" s="14"/>
      <c r="H1" s="14"/>
      <c r="K1" s="14" t="s">
        <v>278</v>
      </c>
      <c r="L1" s="14"/>
      <c r="M1" s="14"/>
      <c r="N1" s="14"/>
      <c r="Q1" s="14" t="s">
        <v>282</v>
      </c>
      <c r="R1" s="14"/>
      <c r="S1" s="14"/>
      <c r="T1" s="14"/>
      <c r="W1" s="14" t="s">
        <v>283</v>
      </c>
      <c r="X1" s="14"/>
      <c r="Y1" s="14"/>
      <c r="Z1" s="14"/>
      <c r="AC1" s="14" t="s">
        <v>285</v>
      </c>
      <c r="AD1" s="14"/>
      <c r="AE1" s="14"/>
      <c r="AF1" s="14"/>
      <c r="AI1" s="14" t="s">
        <v>289</v>
      </c>
      <c r="AJ1" s="14"/>
      <c r="AK1" s="14"/>
      <c r="AL1" s="14"/>
      <c r="AP1" s="14" t="s">
        <v>290</v>
      </c>
      <c r="AQ1" s="14"/>
      <c r="AR1" s="14"/>
      <c r="AS1" s="14"/>
      <c r="AV1" s="14" t="s">
        <v>291</v>
      </c>
      <c r="AW1" s="14"/>
      <c r="AX1" s="14"/>
      <c r="AY1" s="14"/>
      <c r="BB1" s="15" t="s">
        <v>292</v>
      </c>
      <c r="BC1" s="15"/>
      <c r="BD1" s="15"/>
      <c r="BE1" s="15"/>
    </row>
    <row r="2" spans="1:57" ht="15" customHeight="1" x14ac:dyDescent="0.25">
      <c r="A2" s="14"/>
      <c r="B2" s="14"/>
      <c r="C2" s="14"/>
      <c r="F2" s="14"/>
      <c r="G2" s="14"/>
      <c r="H2" s="14"/>
      <c r="K2" s="14"/>
      <c r="L2" s="14"/>
      <c r="M2" s="14"/>
      <c r="N2" s="14"/>
      <c r="Q2" s="14"/>
      <c r="R2" s="14"/>
      <c r="S2" s="14"/>
      <c r="T2" s="14"/>
      <c r="W2" s="14"/>
      <c r="X2" s="14"/>
      <c r="Y2" s="14"/>
      <c r="Z2" s="14"/>
      <c r="AC2" s="14"/>
      <c r="AD2" s="14"/>
      <c r="AE2" s="14"/>
      <c r="AF2" s="14"/>
      <c r="AI2" s="14"/>
      <c r="AJ2" s="14"/>
      <c r="AK2" s="14"/>
      <c r="AL2" s="14"/>
      <c r="AP2" s="14"/>
      <c r="AQ2" s="14"/>
      <c r="AR2" s="14"/>
      <c r="AS2" s="14"/>
      <c r="AV2" s="14"/>
      <c r="AW2" s="14"/>
      <c r="AX2" s="14"/>
      <c r="AY2" s="14"/>
      <c r="BB2" s="15"/>
      <c r="BC2" s="15"/>
      <c r="BD2" s="15"/>
      <c r="BE2" s="15"/>
    </row>
    <row r="5" spans="1:57" x14ac:dyDescent="0.25">
      <c r="A5" s="2" t="s">
        <v>18</v>
      </c>
      <c r="B5" t="s">
        <v>29</v>
      </c>
      <c r="F5" s="2" t="s">
        <v>18</v>
      </c>
      <c r="G5" t="s">
        <v>29</v>
      </c>
      <c r="Q5" s="2" t="s">
        <v>18</v>
      </c>
      <c r="R5" t="s">
        <v>29</v>
      </c>
    </row>
    <row r="6" spans="1:57" x14ac:dyDescent="0.25">
      <c r="W6" s="2" t="s">
        <v>18</v>
      </c>
      <c r="X6" t="s">
        <v>29</v>
      </c>
      <c r="AC6" s="2" t="s">
        <v>18</v>
      </c>
      <c r="AD6" t="s">
        <v>29</v>
      </c>
      <c r="AI6" s="2" t="s">
        <v>18</v>
      </c>
      <c r="AJ6" t="s">
        <v>29</v>
      </c>
    </row>
    <row r="7" spans="1:57" x14ac:dyDescent="0.25">
      <c r="A7" t="s">
        <v>275</v>
      </c>
      <c r="F7" t="s">
        <v>277</v>
      </c>
      <c r="K7" s="2" t="s">
        <v>280</v>
      </c>
      <c r="L7" t="s">
        <v>279</v>
      </c>
      <c r="Q7" s="2" t="s">
        <v>280</v>
      </c>
      <c r="R7" t="s">
        <v>275</v>
      </c>
      <c r="AV7" s="2" t="s">
        <v>18</v>
      </c>
      <c r="AW7" t="s">
        <v>29</v>
      </c>
    </row>
    <row r="8" spans="1:57" x14ac:dyDescent="0.25">
      <c r="A8" s="4">
        <v>1058356.9054399999</v>
      </c>
      <c r="C8" s="3"/>
      <c r="F8" s="16">
        <v>106</v>
      </c>
      <c r="K8" s="6" t="s">
        <v>42</v>
      </c>
      <c r="L8" s="4">
        <v>8870.9411764705874</v>
      </c>
      <c r="Q8" s="6" t="s">
        <v>22</v>
      </c>
      <c r="R8" s="4">
        <v>687987</v>
      </c>
      <c r="W8" s="2" t="s">
        <v>280</v>
      </c>
      <c r="X8" t="s">
        <v>284</v>
      </c>
      <c r="AC8" s="2" t="s">
        <v>280</v>
      </c>
      <c r="AD8" t="s">
        <v>286</v>
      </c>
      <c r="AI8" s="2" t="s">
        <v>280</v>
      </c>
      <c r="AJ8" t="s">
        <v>304</v>
      </c>
      <c r="AP8" s="2" t="s">
        <v>280</v>
      </c>
      <c r="AQ8" t="s">
        <v>286</v>
      </c>
    </row>
    <row r="9" spans="1:57" x14ac:dyDescent="0.25">
      <c r="K9" s="6" t="s">
        <v>63</v>
      </c>
      <c r="L9" s="4">
        <v>22000</v>
      </c>
      <c r="Q9" s="6" t="s">
        <v>49</v>
      </c>
      <c r="R9" s="4">
        <v>175087</v>
      </c>
      <c r="W9" s="10" t="s">
        <v>23</v>
      </c>
      <c r="X9" s="17">
        <v>75</v>
      </c>
      <c r="AC9" s="10" t="s">
        <v>25</v>
      </c>
      <c r="AD9" s="17">
        <v>32</v>
      </c>
      <c r="AI9" s="6" t="s">
        <v>302</v>
      </c>
      <c r="AJ9" s="7">
        <v>0.58490566037735847</v>
      </c>
      <c r="AP9" s="6" t="s">
        <v>29</v>
      </c>
      <c r="AQ9" s="7">
        <v>0.84126984126984128</v>
      </c>
      <c r="AV9" s="2" t="s">
        <v>280</v>
      </c>
      <c r="AW9" t="s">
        <v>286</v>
      </c>
      <c r="BB9" s="2" t="s">
        <v>280</v>
      </c>
      <c r="BC9" t="s">
        <v>277</v>
      </c>
    </row>
    <row r="10" spans="1:57" x14ac:dyDescent="0.25">
      <c r="K10" s="6" t="s">
        <v>23</v>
      </c>
      <c r="L10" s="4">
        <v>9585.747902727273</v>
      </c>
      <c r="Q10" s="6" t="s">
        <v>62</v>
      </c>
      <c r="R10" s="4">
        <v>66900</v>
      </c>
      <c r="W10" s="6" t="s">
        <v>50</v>
      </c>
      <c r="X10" s="16">
        <v>16</v>
      </c>
      <c r="AC10" s="6" t="s">
        <v>32</v>
      </c>
      <c r="AD10" s="16">
        <v>31</v>
      </c>
      <c r="AI10" s="10" t="s">
        <v>303</v>
      </c>
      <c r="AJ10" s="13">
        <v>0.41509433962264153</v>
      </c>
      <c r="AL10" s="12"/>
      <c r="AP10" s="6" t="s">
        <v>82</v>
      </c>
      <c r="AQ10" s="7">
        <v>7.9365079365079361E-3</v>
      </c>
      <c r="AV10" s="10" t="s">
        <v>299</v>
      </c>
      <c r="AW10" s="17">
        <v>50</v>
      </c>
      <c r="BB10" s="6" t="s">
        <v>19</v>
      </c>
      <c r="BC10" s="16">
        <v>88</v>
      </c>
    </row>
    <row r="11" spans="1:57" x14ac:dyDescent="0.25">
      <c r="K11" s="6" t="s">
        <v>207</v>
      </c>
      <c r="L11" s="4">
        <v>10000</v>
      </c>
      <c r="Q11" s="6" t="s">
        <v>85</v>
      </c>
      <c r="R11" s="4">
        <v>60187</v>
      </c>
      <c r="W11" s="6" t="s">
        <v>42</v>
      </c>
      <c r="X11" s="16">
        <v>12</v>
      </c>
      <c r="AC11" s="6" t="s">
        <v>46</v>
      </c>
      <c r="AD11" s="16">
        <v>7</v>
      </c>
      <c r="AI11" s="6" t="s">
        <v>281</v>
      </c>
      <c r="AJ11" s="7">
        <v>1</v>
      </c>
      <c r="AP11" s="8" t="s">
        <v>69</v>
      </c>
      <c r="AQ11" s="9">
        <v>0.15079365079365079</v>
      </c>
      <c r="AS11" s="12"/>
      <c r="AV11" s="6" t="s">
        <v>297</v>
      </c>
      <c r="AW11" s="16">
        <v>21</v>
      </c>
      <c r="BB11" s="6" t="s">
        <v>48</v>
      </c>
      <c r="BC11" s="16">
        <v>38</v>
      </c>
    </row>
    <row r="12" spans="1:57" x14ac:dyDescent="0.25">
      <c r="K12" s="6" t="s">
        <v>94</v>
      </c>
      <c r="L12" s="4">
        <v>9300</v>
      </c>
      <c r="Q12" s="6" t="s">
        <v>201</v>
      </c>
      <c r="R12" s="4">
        <v>33144.905440000002</v>
      </c>
      <c r="W12" s="6" t="s">
        <v>94</v>
      </c>
      <c r="X12" s="16">
        <v>1</v>
      </c>
      <c r="AC12" s="6" t="s">
        <v>198</v>
      </c>
      <c r="AD12" s="16">
        <v>7</v>
      </c>
      <c r="AP12" s="6" t="s">
        <v>281</v>
      </c>
      <c r="AQ12" s="7">
        <v>1</v>
      </c>
      <c r="AV12" s="6" t="s">
        <v>300</v>
      </c>
      <c r="AW12" s="16">
        <v>12</v>
      </c>
      <c r="BB12" s="6" t="s">
        <v>281</v>
      </c>
      <c r="BC12" s="16">
        <v>126</v>
      </c>
    </row>
    <row r="13" spans="1:57" x14ac:dyDescent="0.25">
      <c r="K13" s="6" t="s">
        <v>50</v>
      </c>
      <c r="L13" s="4">
        <v>14290.777777777777</v>
      </c>
      <c r="Q13" s="6" t="s">
        <v>55</v>
      </c>
      <c r="R13" s="4">
        <v>18000</v>
      </c>
      <c r="W13" s="6" t="s">
        <v>63</v>
      </c>
      <c r="X13" s="16">
        <v>1</v>
      </c>
      <c r="AC13" s="6" t="s">
        <v>203</v>
      </c>
      <c r="AD13" s="16">
        <v>5</v>
      </c>
      <c r="AV13" s="6" t="s">
        <v>201</v>
      </c>
      <c r="AW13" s="16">
        <v>7</v>
      </c>
    </row>
    <row r="14" spans="1:57" x14ac:dyDescent="0.25">
      <c r="K14" s="6" t="s">
        <v>281</v>
      </c>
      <c r="L14" s="4">
        <v>10260.998535238095</v>
      </c>
      <c r="Q14" s="6" t="s">
        <v>223</v>
      </c>
      <c r="R14" s="4">
        <v>9655</v>
      </c>
      <c r="W14" s="6" t="s">
        <v>207</v>
      </c>
      <c r="X14" s="16">
        <v>1</v>
      </c>
      <c r="AC14" s="6" t="s">
        <v>38</v>
      </c>
      <c r="AD14" s="16">
        <v>2</v>
      </c>
      <c r="AV14" s="6" t="s">
        <v>298</v>
      </c>
      <c r="AW14" s="16">
        <v>4</v>
      </c>
    </row>
    <row r="15" spans="1:57" x14ac:dyDescent="0.25">
      <c r="Q15" s="6" t="s">
        <v>241</v>
      </c>
      <c r="R15" s="4">
        <v>7396</v>
      </c>
      <c r="W15" s="6" t="s">
        <v>281</v>
      </c>
      <c r="X15" s="16">
        <v>106</v>
      </c>
      <c r="AC15" s="6" t="s">
        <v>197</v>
      </c>
      <c r="AD15" s="16">
        <v>2</v>
      </c>
      <c r="AV15" s="6" t="s">
        <v>177</v>
      </c>
      <c r="AW15" s="16">
        <v>1</v>
      </c>
    </row>
    <row r="16" spans="1:57" x14ac:dyDescent="0.25">
      <c r="Q16" s="6" t="s">
        <v>281</v>
      </c>
      <c r="R16" s="4">
        <v>1058356.9054399999</v>
      </c>
      <c r="AC16" s="6" t="s">
        <v>131</v>
      </c>
      <c r="AD16" s="16">
        <v>2</v>
      </c>
      <c r="AV16" s="6" t="s">
        <v>180</v>
      </c>
      <c r="AW16" s="16">
        <v>1</v>
      </c>
    </row>
    <row r="17" spans="29:49" x14ac:dyDescent="0.25">
      <c r="AC17" s="6" t="s">
        <v>149</v>
      </c>
      <c r="AD17" s="16">
        <v>2</v>
      </c>
      <c r="AV17" s="6" t="s">
        <v>41</v>
      </c>
      <c r="AW17" s="16">
        <v>1</v>
      </c>
    </row>
    <row r="18" spans="29:49" x14ac:dyDescent="0.25">
      <c r="AC18" s="6" t="s">
        <v>216</v>
      </c>
      <c r="AD18" s="16">
        <v>2</v>
      </c>
      <c r="AV18" s="6" t="s">
        <v>281</v>
      </c>
      <c r="AW18" s="16">
        <v>97</v>
      </c>
    </row>
    <row r="19" spans="29:49" x14ac:dyDescent="0.25">
      <c r="AC19" s="6" t="s">
        <v>281</v>
      </c>
      <c r="AD19" s="16">
        <v>92</v>
      </c>
    </row>
  </sheetData>
  <mergeCells count="10">
    <mergeCell ref="BB1:BE2"/>
    <mergeCell ref="AC1:AF2"/>
    <mergeCell ref="AI1:AL2"/>
    <mergeCell ref="AP1:AS2"/>
    <mergeCell ref="AV1:AY2"/>
    <mergeCell ref="A1:C2"/>
    <mergeCell ref="F1:H2"/>
    <mergeCell ref="K1:N2"/>
    <mergeCell ref="Q1:T2"/>
    <mergeCell ref="W1:Z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9FF10-6D3C-4178-AFEF-08949D1EE882}">
  <dimension ref="A1"/>
  <sheetViews>
    <sheetView showGridLines="0" tabSelected="1" zoomScale="90" zoomScaleNormal="90" workbookViewId="0">
      <selection activeCell="E8" sqref="E8"/>
    </sheetView>
  </sheetViews>
  <sheetFormatPr defaultRowHeight="15" x14ac:dyDescent="0.25"/>
  <cols>
    <col min="1" max="16384" width="9.14062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857745C-C5C1-470E-90EF-37D33BE9FE7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Table1</vt:lpstr>
      <vt:lpstr>Power 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ammar mansour</dc:creator>
  <cp:lastModifiedBy>ammar mansour</cp:lastModifiedBy>
  <dcterms:created xsi:type="dcterms:W3CDTF">2026-04-27T14:21:36Z</dcterms:created>
  <dcterms:modified xsi:type="dcterms:W3CDTF">2026-07-09T11:28:12Z</dcterms:modified>
</cp:coreProperties>
</file>